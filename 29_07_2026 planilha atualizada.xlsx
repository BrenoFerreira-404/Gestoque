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ESTOQUE" sheetId="2" r:id="rId6"/>
    <sheet state="visible" name="ENTRADA ENTREGA" sheetId="3" r:id="rId7"/>
    <sheet state="visible" name="SAÍDA" sheetId="4" r:id="rId8"/>
    <sheet state="visible" name="DOAÇÃO" sheetId="5" r:id="rId9"/>
    <sheet state="visible" name="ENTRADA" sheetId="6" r:id="rId10"/>
  </sheets>
  <definedNames>
    <definedName hidden="1" localSheetId="2" name="_xlnm._FilterDatabase">'ENTRADA ENTREGA'!$A$3:$E$78</definedName>
    <definedName hidden="1" localSheetId="3" name="_xlnm._FilterDatabase">'SAÍDA'!$A$8:$A$95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tc={63ee191f-39b1-42c4-84aa-746d5fb3a93b}</author>
  </authors>
  <commentList>
    <comment authorId="0" xr:uid="{63ee191f-39b1-42c4-84aa-746d5fb3a9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10/25
01/26
</t>
      </text>
    </comment>
  </commentList>
</comments>
</file>

<file path=xl/sharedStrings.xml><?xml version="1.0" encoding="utf-8"?>
<sst xmlns="http://schemas.openxmlformats.org/spreadsheetml/2006/main" count="958" uniqueCount="365">
  <si>
    <t>ENTREGA DE PRODUTOS</t>
  </si>
  <si>
    <t xml:space="preserve"> </t>
  </si>
  <si>
    <t>FORNECEDOR</t>
  </si>
  <si>
    <t>.</t>
  </si>
  <si>
    <t>JANEIRO</t>
  </si>
  <si>
    <t>ITENS</t>
  </si>
  <si>
    <t>QUANTIDADE</t>
  </si>
  <si>
    <t>DATA DE RECEBIMENTO</t>
  </si>
  <si>
    <t>VINAQUE COMERCIO</t>
  </si>
  <si>
    <t>SAÍDAS</t>
  </si>
  <si>
    <t>REFRIGERANTES COLA OUGARANA</t>
  </si>
  <si>
    <r>
      <rPr>
        <rFont val="Calibri"/>
        <b/>
        <color rgb="FF000000"/>
        <sz val="11.0"/>
      </rPr>
      <t xml:space="preserve">      LEGENDA: </t>
    </r>
    <r>
      <rPr>
        <rFont val="Calibri"/>
        <b/>
        <color rgb="FFFFFF00"/>
        <sz val="11.0"/>
      </rPr>
      <t>AMARELO</t>
    </r>
    <r>
      <rPr>
        <rFont val="Calibri"/>
        <b/>
        <color rgb="FF000000"/>
        <sz val="11.0"/>
      </rPr>
      <t xml:space="preserve"> ITEM ÚNICO/</t>
    </r>
    <r>
      <rPr>
        <rFont val="Calibri"/>
        <b/>
        <color rgb="FF92D050"/>
        <sz val="11.0"/>
      </rPr>
      <t xml:space="preserve"> VERDE</t>
    </r>
    <r>
      <rPr>
        <rFont val="Calibri"/>
        <b/>
        <color rgb="FF000000"/>
        <sz val="11.0"/>
      </rPr>
      <t xml:space="preserve"> PROXIMO AO VENCIMENTO</t>
    </r>
  </si>
  <si>
    <t>UND</t>
  </si>
  <si>
    <t>SAÍDA DE ESTOQUE JANEIRO 2023</t>
  </si>
  <si>
    <t>LEITE CONDENSADO</t>
  </si>
  <si>
    <t xml:space="preserve">  </t>
  </si>
  <si>
    <t>CONTROLE DE ESTOQUE</t>
  </si>
  <si>
    <t>ALIMENTO</t>
  </si>
  <si>
    <t>AÇÚCAR</t>
  </si>
  <si>
    <t>ESTOQUE</t>
  </si>
  <si>
    <t>KG</t>
  </si>
  <si>
    <t>VAL.</t>
  </si>
  <si>
    <t>MARCA</t>
  </si>
  <si>
    <t>ARROZ</t>
  </si>
  <si>
    <t>ACHOCOLATADO em pó, solúvel, embalagem original com no mínimo 400 g</t>
  </si>
  <si>
    <t>ID</t>
  </si>
  <si>
    <t>CAFÉ</t>
  </si>
  <si>
    <t>FARINHA DE TRIGO</t>
  </si>
  <si>
    <t>FERMENTO EM PÓ</t>
  </si>
  <si>
    <t>MSX COMERCIO</t>
  </si>
  <si>
    <t>COUVE FLOR</t>
  </si>
  <si>
    <t>QUIABO</t>
  </si>
  <si>
    <t>Apti/Especiali</t>
  </si>
  <si>
    <t>70</t>
  </si>
  <si>
    <t>TOMATE</t>
  </si>
  <si>
    <t>PIMENTÃO</t>
  </si>
  <si>
    <t>TOTAL SAÍDAS</t>
  </si>
  <si>
    <t>ACHOCOLATADO em pó, solúvel, embalagem original com no mínimo 1kg</t>
  </si>
  <si>
    <t>ALFACE</t>
  </si>
  <si>
    <t>COUVE MANTEIGA</t>
  </si>
  <si>
    <t xml:space="preserve">XAVIER </t>
  </si>
  <si>
    <t>PATINHO MOIDO</t>
  </si>
  <si>
    <t>CARRE</t>
  </si>
  <si>
    <t>PATINHO PÇ</t>
  </si>
  <si>
    <t xml:space="preserve">AÇUCAR Cristal 5 kg </t>
  </si>
  <si>
    <t>FILE DE PESCADA</t>
  </si>
  <si>
    <t>MUSSARELA</t>
  </si>
  <si>
    <t>ANEXO IMPERIAL</t>
  </si>
  <si>
    <t>MUSCULO</t>
  </si>
  <si>
    <t>AÇUCAR refinado com 1 kg</t>
  </si>
  <si>
    <t>AMANBELLA</t>
  </si>
  <si>
    <t>EXTRATO TOMATE</t>
  </si>
  <si>
    <t>TopAçúcar</t>
  </si>
  <si>
    <t>OK</t>
  </si>
  <si>
    <t>OLEO</t>
  </si>
  <si>
    <t>ADOÇANTE DIETÉTICO, líquido, em embalagem original com no mínimo 100 ml</t>
  </si>
  <si>
    <t>CAFE</t>
  </si>
  <si>
    <t>Svilli</t>
  </si>
  <si>
    <t>FEIJÃO</t>
  </si>
  <si>
    <t>MACARRÃO ESPAGUETE 1KG</t>
  </si>
  <si>
    <r>
      <rPr>
        <rFont val="Calibri"/>
        <color rgb="FF000000"/>
        <sz val="9.0"/>
      </rPr>
      <t xml:space="preserve">ADOÇANTE DIETÉTICO </t>
    </r>
    <r>
      <rPr>
        <rFont val="Calibri"/>
        <b/>
        <color rgb="FF000000"/>
        <sz val="9.0"/>
      </rPr>
      <t>SUCRALOSE</t>
    </r>
    <r>
      <rPr>
        <rFont val="Calibri"/>
        <color rgb="FF000000"/>
        <sz val="9.0"/>
      </rPr>
      <t>, líquido, em embalagem original com no mínimo 100 ml</t>
    </r>
  </si>
  <si>
    <t>MACARRÃO PARAFUSO</t>
  </si>
  <si>
    <t>MAIONESE</t>
  </si>
  <si>
    <t>AMIDO DE MILHO, em embalagem original com 500g</t>
  </si>
  <si>
    <t>MILHO EM CONSERVA</t>
  </si>
  <si>
    <t>Pereira</t>
  </si>
  <si>
    <t xml:space="preserve">ARROZ PARBORIZADO </t>
  </si>
  <si>
    <t>ARROZ POLIDO, tipo 1, em embalagem original com 1 kg</t>
  </si>
  <si>
    <t>FILE DE FRANGO</t>
  </si>
  <si>
    <t>UNIDS</t>
  </si>
  <si>
    <t>COXA E SOBRECOXA</t>
  </si>
  <si>
    <t>ARROZ PARBORIZADO</t>
  </si>
  <si>
    <t>ATENDO</t>
  </si>
  <si>
    <t>MARGARINA</t>
  </si>
  <si>
    <t>ACEM</t>
  </si>
  <si>
    <t>ARROZ , tipo 1, em embalagem original com 5KG</t>
  </si>
  <si>
    <t>REQUEIJÃO</t>
  </si>
  <si>
    <t>TOSCANA</t>
  </si>
  <si>
    <t>SALSICHA</t>
  </si>
  <si>
    <t>BLACK HORSE</t>
  </si>
  <si>
    <t>Arroz integral</t>
  </si>
  <si>
    <t>BISCOITO MAISENA</t>
  </si>
  <si>
    <t>BISCOITO ROSQUINHA</t>
  </si>
  <si>
    <t>LEITE AROM. CHOCOLATE</t>
  </si>
  <si>
    <t>SUCO CAJU</t>
  </si>
  <si>
    <t>BISCOITO CREAM CRACKER</t>
  </si>
  <si>
    <t>MINI BOLO</t>
  </si>
  <si>
    <t>MINI WAFFER</t>
  </si>
  <si>
    <t>NECTAR 200 ML</t>
  </si>
  <si>
    <t>Atum</t>
  </si>
  <si>
    <t>TROCA</t>
  </si>
  <si>
    <t>Aveia</t>
  </si>
  <si>
    <t xml:space="preserve">Naturale </t>
  </si>
  <si>
    <t>AZEITE DE OLIVA, puro, de 1ª qualidade, acondicionado em embalagem em 500 ml</t>
  </si>
  <si>
    <t>AZEITONA VERDE em conserva, acondicionada em embalagem original 80g</t>
  </si>
  <si>
    <t>LARANJA SELETA</t>
  </si>
  <si>
    <t>AZEITONA VERDE em conserva, acondicionada em embalagem original 500g</t>
  </si>
  <si>
    <t>PRYME</t>
  </si>
  <si>
    <t>PÃES</t>
  </si>
  <si>
    <t>AZEITONA VERDE em conserva, acondicionada em embalagem original 1kg</t>
  </si>
  <si>
    <t>PEIXE</t>
  </si>
  <si>
    <t>Amendoim triturado</t>
  </si>
  <si>
    <t>Campo Belo</t>
  </si>
  <si>
    <t>PRESUNTO</t>
  </si>
  <si>
    <t>Bananada</t>
  </si>
  <si>
    <t>Bala macia</t>
  </si>
  <si>
    <t>PATINHO</t>
  </si>
  <si>
    <t>BATATA PALHA – Batata processada, espécie: inglesa, tipo formato: palha, frita, apresentação pronta para consumo em embalagem original com 500 g</t>
  </si>
  <si>
    <t>Batata Boa</t>
  </si>
  <si>
    <t>BATATA PALHA – Batata processada, espécie: inglesa, tipo formato: palha, frita, apresentação pronta para consumo em embalagem original com 900 g</t>
  </si>
  <si>
    <t>BISCOITO SALGADO, tipo água, em embalagem original com no mínimo 200 g</t>
  </si>
  <si>
    <t>Biscoito Amanteigado</t>
  </si>
  <si>
    <t>KATCHUP</t>
  </si>
  <si>
    <t>VINAGRE 750</t>
  </si>
  <si>
    <r>
      <rPr>
        <rFont val="Calibri"/>
        <color rgb="FF000000"/>
        <sz val="9.0"/>
      </rPr>
      <t xml:space="preserve">BISCOITO SALGADO, tipo </t>
    </r>
    <r>
      <rPr>
        <rFont val="Calibri"/>
        <b/>
        <color rgb="FF000000"/>
        <sz val="9.0"/>
      </rPr>
      <t>CREAM CRACKER</t>
    </r>
    <r>
      <rPr>
        <rFont val="Calibri"/>
        <color rgb="FF000000"/>
        <sz val="9.0"/>
      </rPr>
      <t>, em embalagem original com no mínimo 200 g</t>
    </r>
  </si>
  <si>
    <t>COXAO MOLE</t>
  </si>
  <si>
    <t>Candore</t>
  </si>
  <si>
    <r>
      <rPr>
        <rFont val="Calibri"/>
        <color rgb="FF000000"/>
        <sz val="9.0"/>
      </rPr>
      <t xml:space="preserve">BISCOITO DOCE tipo maria ou </t>
    </r>
    <r>
      <rPr>
        <rFont val="Calibri"/>
        <b/>
        <color rgb="FF000000"/>
        <sz val="9.0"/>
      </rPr>
      <t>MAISENA</t>
    </r>
    <r>
      <rPr>
        <rFont val="Calibri"/>
        <color rgb="FF000000"/>
        <sz val="9.0"/>
      </rPr>
      <t>, acondicionado em embalagem original com no mínimo 200 g</t>
    </r>
  </si>
  <si>
    <t xml:space="preserve"> Cadore</t>
  </si>
  <si>
    <t>CHESTER</t>
  </si>
  <si>
    <t>BISCOITO DOCE tipo maria ou maisena, acondicionado em embalagem original com no mínimo 200 g</t>
  </si>
  <si>
    <t>ADOÇANTE</t>
  </si>
  <si>
    <r>
      <rPr>
        <rFont val="Calibri"/>
        <color rgb="FF000000"/>
        <sz val="9.0"/>
      </rPr>
      <t xml:space="preserve">BISCOITO DOCE, tipo </t>
    </r>
    <r>
      <rPr>
        <rFont val="Calibri"/>
        <b/>
        <color rgb="FF000000"/>
        <sz val="9.0"/>
      </rPr>
      <t>ROSQUINHA</t>
    </r>
    <r>
      <rPr>
        <rFont val="Calibri"/>
        <color rgb="FF000000"/>
        <sz val="9.0"/>
      </rPr>
      <t>, em embalagem original com no mínimo 350 g SABORES</t>
    </r>
  </si>
  <si>
    <t>BISCOITO DOCE, tipo wafer, sabores em embalagem original com aproximadamente 30g</t>
  </si>
  <si>
    <t>SUCO MARACUJA</t>
  </si>
  <si>
    <t>BISCOITO DOCE, tipo wafer, sabores em embalagem original com aproximadamente 140 g</t>
  </si>
  <si>
    <r>
      <rPr>
        <rFont val="Calibri"/>
        <color rgb="FF000000"/>
        <sz val="9.0"/>
      </rPr>
      <t>BISCOITO SALGADO, acondicionado em embalagem individual, com no mínimo 25 g, em pacotes de no mínimo 150 g PIT STOP</t>
    </r>
    <r>
      <rPr>
        <rFont val="Calibri"/>
        <b/>
        <color rgb="FF000000"/>
        <sz val="9.0"/>
      </rPr>
      <t xml:space="preserve"> integral</t>
    </r>
  </si>
  <si>
    <t>CARNE MOIDA</t>
  </si>
  <si>
    <t>ACHOCOLATADO</t>
  </si>
  <si>
    <t>BISCOITO SALGADO, acondicionado em embalagem individual, com no mínimo 25 g, em pacotes de no mínimo 150 g PIT STOP</t>
  </si>
  <si>
    <t>Clube Social</t>
  </si>
  <si>
    <t>COLA</t>
  </si>
  <si>
    <t xml:space="preserve">BISCOITO DOCE, tipo wafer, diversos sabores em embalagem original com aproximadamente 30g/  75g </t>
  </si>
  <si>
    <t>Bauduco</t>
  </si>
  <si>
    <t>GUARANA</t>
  </si>
  <si>
    <t>LARANJA</t>
  </si>
  <si>
    <t>PASSAS</t>
  </si>
  <si>
    <t>CAFÉ torrado e moído, de 1ª qualidade, com selo de pureza abic, acondicionado em embalagem metalizada com 250 g</t>
  </si>
  <si>
    <t>ERVILHA SACHE</t>
  </si>
  <si>
    <t>FUBA DE MILHO</t>
  </si>
  <si>
    <t>CAFÉ torrado e moído, de 1ª qualidade, com selo de pureza abic, acondicionado em embalagem metalizada com 500 g</t>
  </si>
  <si>
    <t>Villa Rica</t>
  </si>
  <si>
    <t>AÇUCAR</t>
  </si>
  <si>
    <t>GELATINA</t>
  </si>
  <si>
    <t>CANJICA DE MILHO, branco, acondicionado em embalagem original com 500g</t>
  </si>
  <si>
    <t>FILE DE PEITO</t>
  </si>
  <si>
    <t>LUGUINÇA TOSCANA</t>
  </si>
  <si>
    <t>BACON</t>
  </si>
  <si>
    <t>CHA CX COM 10 UNID - CAPIM-CIDREIRA</t>
  </si>
  <si>
    <t>LEITE DE COCO</t>
  </si>
  <si>
    <t>Chá Leão</t>
  </si>
  <si>
    <t>MACARRAO PARAFUSO</t>
  </si>
  <si>
    <t>CHA CX COM 10 UNID - CAMOMILA</t>
  </si>
  <si>
    <t>MACARRAO ESPAGUETE</t>
  </si>
  <si>
    <t>CHA CX COM 10 UNID - ERVA DOCE</t>
  </si>
  <si>
    <t>CHOCOLATE EM PO 1KG</t>
  </si>
  <si>
    <r>
      <rPr>
        <rFont val="Calibri"/>
        <color rgb="FF000000"/>
        <sz val="9.0"/>
      </rPr>
      <t xml:space="preserve">CONDIMENTO PREPARADO a base de tomate, </t>
    </r>
    <r>
      <rPr>
        <rFont val="Calibri"/>
        <b/>
        <color rgb="FF000000"/>
        <sz val="9.0"/>
      </rPr>
      <t>KETCHUP</t>
    </r>
    <r>
      <rPr>
        <rFont val="Calibri"/>
        <color rgb="FF000000"/>
        <sz val="9.0"/>
      </rPr>
      <t>, acondicionado em embalagem original com no mínimo 380g</t>
    </r>
  </si>
  <si>
    <t>PATE</t>
  </si>
  <si>
    <t>CREAM CRACKER</t>
  </si>
  <si>
    <t>COCADA</t>
  </si>
  <si>
    <t>MAISENA</t>
  </si>
  <si>
    <t>PITSTOP</t>
  </si>
  <si>
    <t>COCO RALADO, desidratado, acondicionado em embalagem original com 100g</t>
  </si>
  <si>
    <t>Apti</t>
  </si>
  <si>
    <t>CREME DE LEITE, acondicionado em embalagem original com no mínimo 200 g</t>
  </si>
  <si>
    <t>SUCO DE UVA 1L</t>
  </si>
  <si>
    <t>Piracanjuba</t>
  </si>
  <si>
    <t>Doce de coco</t>
  </si>
  <si>
    <t>DOCE DE AMENDOIM</t>
  </si>
  <si>
    <t>Doce de abobora</t>
  </si>
  <si>
    <t>CAFE 250</t>
  </si>
  <si>
    <t>DOCE DE LEITE, pastoso, acondicionado em embalagem original com no mínimo 400 g</t>
  </si>
  <si>
    <t>LEITE</t>
  </si>
  <si>
    <t>ERVILHA EM CONSERVA, acondicionada em embalagem original com 200 g</t>
  </si>
  <si>
    <t>ATUM</t>
  </si>
  <si>
    <t>ERVILHA SECA, grupo II, tipo 1, acondicionada em embalagem original com 500 g</t>
  </si>
  <si>
    <t>EXTRATO DE TOMATE, concentrado, acondicionado em embalagem original com no mínimo 300 g</t>
  </si>
  <si>
    <t>Sempre q puder</t>
  </si>
  <si>
    <t>FARINHA DE MANDIOCA tipo 1 – crua</t>
  </si>
  <si>
    <t>SAL</t>
  </si>
  <si>
    <t xml:space="preserve">BãoPirão </t>
  </si>
  <si>
    <t>FARINHA DE ROSCA</t>
  </si>
  <si>
    <t>FARINHA DE TRIGO ESPECIAL, acondicionada em embalagem original com 1 kg tipo 2</t>
  </si>
  <si>
    <t>Amizade/Globo</t>
  </si>
  <si>
    <t>PERNIL</t>
  </si>
  <si>
    <t>AZEITONA</t>
  </si>
  <si>
    <t>FEIJAO PRETO em embalagem original de 1kg</t>
  </si>
  <si>
    <t>Bem Casado</t>
  </si>
  <si>
    <t>FEIJAO FRADINHO em embalagem original de 500g</t>
  </si>
  <si>
    <t>SARDINHA</t>
  </si>
  <si>
    <t>FERMENTO QUÍMICO, em pó, acondicionado em lata com 100 g</t>
  </si>
  <si>
    <t>FEIJAO</t>
  </si>
  <si>
    <t>Dona Benta</t>
  </si>
  <si>
    <t>FUBÁ DE MILHO, acondicionado em embalagem original com 1kg</t>
  </si>
  <si>
    <t>Granfino</t>
  </si>
  <si>
    <r>
      <rPr>
        <rFont val="Arial"/>
        <color rgb="FF000000"/>
        <sz val="9.0"/>
      </rPr>
      <t>GELATINA EM PÓ, acondicionado em embalagem original com no mínimo 25g</t>
    </r>
    <r>
      <rPr>
        <rFont val="Calibri"/>
        <color rgb="FF000000"/>
        <sz val="9.0"/>
      </rPr>
      <t xml:space="preserve"> </t>
    </r>
  </si>
  <si>
    <t xml:space="preserve">Apti </t>
  </si>
  <si>
    <r>
      <rPr>
        <rFont val="Arial"/>
        <color rgb="FF000000"/>
        <sz val="9.0"/>
      </rPr>
      <t xml:space="preserve">GELATINA EM PÓ, acondicionado em embalagem original com no mínimo 25g </t>
    </r>
    <r>
      <rPr>
        <rFont val="Arial"/>
        <b/>
        <color rgb="FF000000"/>
        <sz val="9.0"/>
      </rPr>
      <t>DIET</t>
    </r>
  </si>
  <si>
    <r>
      <rPr>
        <rFont val="Arial"/>
        <color rgb="FF000000"/>
        <sz val="9.0"/>
      </rPr>
      <t>GELATINA EM PÓ, diversos sabores, acondicionado em embalagem original com no mínimo 25g</t>
    </r>
    <r>
      <rPr>
        <rFont val="Calibri"/>
        <color rgb="FF000000"/>
        <sz val="9.0"/>
      </rPr>
      <t xml:space="preserve"> – sabor: amora</t>
    </r>
  </si>
  <si>
    <r>
      <rPr>
        <rFont val="Arial"/>
        <color rgb="FF000000"/>
        <sz val="9.0"/>
      </rPr>
      <t>GELATINA EM PÓ, diversos sabores, acondicionado em embalagem original com no mínimo 25g – sabor:</t>
    </r>
    <r>
      <rPr>
        <rFont val="Calibri"/>
        <color rgb="FF000000"/>
        <sz val="9.0"/>
      </rPr>
      <t xml:space="preserve"> morango</t>
    </r>
  </si>
  <si>
    <r>
      <rPr>
        <rFont val="Arial"/>
        <color rgb="FF000000"/>
        <sz val="9.0"/>
      </rPr>
      <t xml:space="preserve">GELATINA EM PÓ, diversos sabores, acondicionado em embalagem original com no mínimo 25g – sabor: </t>
    </r>
    <r>
      <rPr>
        <rFont val="Calibri"/>
        <color rgb="FF000000"/>
        <sz val="9.0"/>
      </rPr>
      <t>limão</t>
    </r>
  </si>
  <si>
    <t>AMIDO DE MILHO</t>
  </si>
  <si>
    <r>
      <rPr>
        <rFont val="Arial"/>
        <color rgb="FF000000"/>
        <sz val="9.0"/>
      </rPr>
      <t>GELATINA EM PÓ, diversos sabores, acondicionado em embalagem original com no mínimo 25g – sabor:</t>
    </r>
    <r>
      <rPr>
        <rFont val="Calibri"/>
        <color rgb="FF000000"/>
        <sz val="9.0"/>
      </rPr>
      <t xml:space="preserve"> UVA</t>
    </r>
  </si>
  <si>
    <t>ARROZ POLIDO, tipo 1, em embalagem original</t>
  </si>
  <si>
    <t>GELÉIA DE FRUTA acondicionada em embalagem original com no mínimo 220g</t>
  </si>
  <si>
    <r>
      <rPr>
        <rFont val="Arial"/>
        <color rgb="FF000000"/>
        <sz val="9.0"/>
      </rPr>
      <t>GELÉIA DE FRUTA acondicionada em embalagem original com no mínimo 220g – sabor:</t>
    </r>
    <r>
      <rPr>
        <rFont val="Calibri"/>
        <color rgb="FF000000"/>
        <sz val="9.0"/>
      </rPr>
      <t xml:space="preserve"> goiaba</t>
    </r>
  </si>
  <si>
    <r>
      <rPr>
        <rFont val="Arial"/>
        <color rgb="FF000000"/>
        <sz val="9.0"/>
      </rPr>
      <t>GELÉIA DE FRUTA acondicionada em embalagem original com no mínimo 220g – sabor:</t>
    </r>
    <r>
      <rPr>
        <rFont val="Calibri"/>
        <color rgb="FF000000"/>
        <sz val="9.0"/>
      </rPr>
      <t xml:space="preserve"> amora</t>
    </r>
  </si>
  <si>
    <t>AVEIA EM FLOCOS</t>
  </si>
  <si>
    <t>GELÉIA DE FRUTA acondicionada em embalagem original com no mínimo 220g – sabor: ameixa</t>
  </si>
  <si>
    <t>GELÉIA DE FRUTA acondicionada em embalagem original com no mínimo 220g – sabor: uva</t>
  </si>
  <si>
    <t>BISCOITO SALGADO, tipo cream cracker, em embalagem original com no mínimo 200 g</t>
  </si>
  <si>
    <t xml:space="preserve">GELÉIA DE FRUTA DIET  acondicionada em embalagem original com no mínimo 220g – sabor: </t>
  </si>
  <si>
    <t>BISCOITO DOCE, tipo rosquinha, em embalagem original com no mínimo 350 g SABORES</t>
  </si>
  <si>
    <t>GOIABADA, sem adição de corantes, acondicionado em embalagem original com no mínimo 300 g</t>
  </si>
  <si>
    <r>
      <rPr>
        <rFont val="Calibri"/>
        <color rgb="FF000000"/>
        <sz val="9.0"/>
      </rPr>
      <t>BISCOITO SALGADO, acondicionado em embalagem individual, com no mínimo 25 g, em pacotes de no mínimo 150 g PIT STOP</t>
    </r>
    <r>
      <rPr>
        <rFont val="Calibri"/>
        <b/>
        <color rgb="FF000000"/>
        <sz val="9.0"/>
      </rPr>
      <t xml:space="preserve"> integral</t>
    </r>
  </si>
  <si>
    <t>Granulado</t>
  </si>
  <si>
    <t xml:space="preserve">CANELA  EM PAU , 6g </t>
  </si>
  <si>
    <t xml:space="preserve">CANELA  EM PÓ, 6g </t>
  </si>
  <si>
    <t xml:space="preserve">Queijo ralado selene  com 50g  </t>
  </si>
  <si>
    <t>CHA CX COM 10 UNID - CIDREIRA</t>
  </si>
  <si>
    <t>LEITE AROMATIZADO, semi-desnatado ou integral, sabor chocolate, acondicionado em embalagem cartonada asséptica com no mínimo 200 ml</t>
  </si>
  <si>
    <t>Pira Kids</t>
  </si>
  <si>
    <r>
      <rPr>
        <rFont val="Calibri"/>
        <color rgb="FF000000"/>
        <sz val="9.0"/>
      </rPr>
      <t xml:space="preserve">CONDIMENTO PREPARADO a base de tomate, </t>
    </r>
    <r>
      <rPr>
        <rFont val="Calibri"/>
        <b/>
        <color rgb="FF000000"/>
        <sz val="9.0"/>
      </rPr>
      <t>KETCHUP</t>
    </r>
    <r>
      <rPr>
        <rFont val="Calibri"/>
        <color rgb="FF000000"/>
        <sz val="9.0"/>
      </rPr>
      <t>, acondicionado em embalagem original com no mínimo 380g</t>
    </r>
  </si>
  <si>
    <t xml:space="preserve">CREME DE LEITE, acondicionado em embalagem original </t>
  </si>
  <si>
    <r>
      <rPr>
        <rFont val="Calibri"/>
        <color rgb="FF000000"/>
        <sz val="9.0"/>
      </rPr>
      <t xml:space="preserve">LEITE EM PÓ, </t>
    </r>
    <r>
      <rPr>
        <rFont val="Calibri"/>
        <b/>
        <color rgb="FF000000"/>
        <sz val="9.0"/>
      </rPr>
      <t>DESNATADO</t>
    </r>
  </si>
  <si>
    <t>FARINHA DE MANDIOCA – crua</t>
  </si>
  <si>
    <r>
      <rPr>
        <rFont val="Calibri"/>
        <color rgb="FF000000"/>
        <sz val="9.0"/>
      </rPr>
      <t xml:space="preserve">LEITE </t>
    </r>
    <r>
      <rPr>
        <rFont val="Calibri"/>
        <b/>
        <color rgb="FF000000"/>
        <sz val="9.0"/>
      </rPr>
      <t>INTEGRAL 1L</t>
    </r>
  </si>
  <si>
    <t>FARINHA DE TRIGO ESPECIAL</t>
  </si>
  <si>
    <r>
      <rPr>
        <rFont val="Calibri"/>
        <color rgb="FF000000"/>
        <sz val="9.0"/>
      </rPr>
      <t xml:space="preserve">LEITE </t>
    </r>
    <r>
      <rPr>
        <rFont val="Calibri"/>
        <b/>
        <color rgb="FF000000"/>
        <sz val="9.0"/>
      </rPr>
      <t>DESNATADO</t>
    </r>
  </si>
  <si>
    <r>
      <rPr>
        <rFont val="Calibri"/>
        <color rgb="FF000000"/>
        <sz val="9.0"/>
      </rPr>
      <t xml:space="preserve">LEITE EM PÓ, </t>
    </r>
    <r>
      <rPr>
        <rFont val="Calibri"/>
        <b/>
        <color rgb="FF000000"/>
        <sz val="9.0"/>
      </rPr>
      <t xml:space="preserve">INTEGRAL, </t>
    </r>
    <r>
      <rPr>
        <rFont val="Calibri"/>
        <color rgb="FF000000"/>
        <sz val="9.0"/>
      </rPr>
      <t>instantâneo, acondicionado em embalagem original com no mínimo 400 g</t>
    </r>
  </si>
  <si>
    <t>FUBÁ DE MILHO, acondicionado em embalagem original</t>
  </si>
  <si>
    <t>Petit/Mimo</t>
  </si>
  <si>
    <r>
      <rPr>
        <rFont val="Arial"/>
        <color rgb="FF000000"/>
        <sz val="9.0"/>
      </rPr>
      <t>GELATINA EM PÓ, acondicionado em embalagem original com no mínimo 25g</t>
    </r>
    <r>
      <rPr>
        <rFont val="Calibri"/>
        <color rgb="FF000000"/>
        <sz val="9.0"/>
      </rPr>
      <t xml:space="preserve"> </t>
    </r>
  </si>
  <si>
    <t>LEITE CONDENSADO acondicionado em embalagem original com no mínimo 395g.</t>
  </si>
  <si>
    <r>
      <rPr>
        <rFont val="Arial"/>
        <color rgb="FF000000"/>
        <sz val="9.0"/>
      </rPr>
      <t xml:space="preserve">GELATINA EM PÓ, acondicionado em embalagem original com no mínimo 25g </t>
    </r>
    <r>
      <rPr>
        <rFont val="Arial"/>
        <b/>
        <color rgb="FF000000"/>
        <sz val="9.0"/>
      </rPr>
      <t>DIET</t>
    </r>
  </si>
  <si>
    <t>Triangulo</t>
  </si>
  <si>
    <r>
      <rPr>
        <rFont val="Arial"/>
        <color rgb="FF000000"/>
        <sz val="9.0"/>
      </rPr>
      <t>GELATINA EM PÓ, diversos sabores, acondicionado em embalagem original com no mínimo 25g</t>
    </r>
    <r>
      <rPr>
        <rFont val="Calibri"/>
        <color rgb="FF000000"/>
        <sz val="9.0"/>
      </rPr>
      <t xml:space="preserve"> – sabor: amora</t>
    </r>
  </si>
  <si>
    <t>LEITE DE COCO, concentrado, acondicionado em embalagem original com 200ml</t>
  </si>
  <si>
    <r>
      <rPr>
        <rFont val="Arial"/>
        <color rgb="FF000000"/>
        <sz val="9.0"/>
      </rPr>
      <t>GELATINA EM PÓ, diversos sabores, acondicionado em embalagem original com no mínimo 25g – sabor:</t>
    </r>
    <r>
      <rPr>
        <rFont val="Calibri"/>
        <color rgb="FF000000"/>
        <sz val="9.0"/>
      </rPr>
      <t xml:space="preserve"> morango</t>
    </r>
  </si>
  <si>
    <t>LEITE DE COCO, concentrado, acondicionado em embalagem original com 500ml</t>
  </si>
  <si>
    <r>
      <rPr>
        <rFont val="Arial"/>
        <color rgb="FF000000"/>
        <sz val="9.0"/>
      </rPr>
      <t xml:space="preserve">GELATINA EM PÓ, diversos sabores, acondicionado em embalagem original com no mínimo 25g – sabor: </t>
    </r>
    <r>
      <rPr>
        <rFont val="Calibri"/>
        <color rgb="FF000000"/>
        <sz val="9.0"/>
      </rPr>
      <t>limão</t>
    </r>
  </si>
  <si>
    <r>
      <rPr>
        <rFont val="Arial"/>
        <color rgb="FF000000"/>
        <sz val="9.0"/>
      </rPr>
      <t>GELATINA EM PÓ, diversos sabores, acondicionado em embalagem original com no mínimo 25g – sabor:</t>
    </r>
    <r>
      <rPr>
        <rFont val="Calibri"/>
        <color rgb="FF000000"/>
        <sz val="9.0"/>
      </rPr>
      <t xml:space="preserve"> UVA</t>
    </r>
  </si>
  <si>
    <r>
      <rPr>
        <rFont val="Arial"/>
        <color rgb="FF000000"/>
        <sz val="9.0"/>
      </rPr>
      <t>GELÉIA DE FRUTA acondicionada em embalagem original com no mínimo 220g – sabor:</t>
    </r>
    <r>
      <rPr>
        <rFont val="Calibri"/>
        <color rgb="FF000000"/>
        <sz val="9.0"/>
      </rPr>
      <t xml:space="preserve"> morango</t>
    </r>
  </si>
  <si>
    <r>
      <rPr>
        <rFont val="Arial"/>
        <color rgb="FF000000"/>
        <sz val="9.0"/>
      </rPr>
      <t>GELÉIA DE FRUTA acondicionada em embalagem original com no mínimo 220g – sabor:</t>
    </r>
    <r>
      <rPr>
        <rFont val="Calibri"/>
        <color rgb="FF000000"/>
        <sz val="9.0"/>
      </rPr>
      <t xml:space="preserve"> goiaba</t>
    </r>
  </si>
  <si>
    <r>
      <rPr>
        <rFont val="Arial"/>
        <color rgb="FF000000"/>
        <sz val="9.0"/>
      </rPr>
      <t>GELÉIA DE FRUTA acondicionada em embalagem original com no mínimo 220g – sabor:</t>
    </r>
    <r>
      <rPr>
        <rFont val="Calibri"/>
        <color rgb="FF000000"/>
        <sz val="9.0"/>
      </rPr>
      <t xml:space="preserve"> amora</t>
    </r>
  </si>
  <si>
    <t>Iogurte</t>
  </si>
  <si>
    <r>
      <rPr>
        <rFont val="Calibri"/>
        <color rgb="FF000000"/>
        <sz val="9.0"/>
      </rPr>
      <t xml:space="preserve">MASSA ALIMENTÍCIA, PARAFUSO, </t>
    </r>
    <r>
      <rPr>
        <rFont val="Calibri"/>
        <b/>
        <color rgb="FF000000"/>
        <sz val="9.0"/>
      </rPr>
      <t>INTEGRAL</t>
    </r>
    <r>
      <rPr>
        <rFont val="Calibri"/>
        <color rgb="FF000000"/>
        <sz val="9.0"/>
      </rPr>
      <t>, com ovos, acondicionado em embalagem original com 500g</t>
    </r>
  </si>
  <si>
    <t>2027/2028</t>
  </si>
  <si>
    <t>Galo</t>
  </si>
  <si>
    <t>GOIABADA, sem adição de corantes, acondicionado em embalagem original com no mínimo 1KG</t>
  </si>
  <si>
    <r>
      <rPr>
        <rFont val="Calibri"/>
        <color rgb="FF000000"/>
        <sz val="9.0"/>
      </rPr>
      <t xml:space="preserve">MASSA ALIMENTÍCIA, ESPAGUETE, </t>
    </r>
    <r>
      <rPr>
        <rFont val="Calibri"/>
        <b/>
        <color rgb="FF000000"/>
        <sz val="9.0"/>
      </rPr>
      <t>INTEGRAL</t>
    </r>
    <r>
      <rPr>
        <rFont val="Calibri"/>
        <color rgb="FF000000"/>
        <sz val="9.0"/>
      </rPr>
      <t>, com ovos, acondicionado em embalagem original com 500g</t>
    </r>
  </si>
  <si>
    <r>
      <rPr>
        <rFont val="Calibri"/>
        <color rgb="FF000000"/>
        <sz val="9.0"/>
      </rPr>
      <t xml:space="preserve">LEITE EM PÓ, </t>
    </r>
    <r>
      <rPr>
        <rFont val="Calibri"/>
        <b/>
        <color rgb="FF000000"/>
        <sz val="9.0"/>
      </rPr>
      <t>DESNATADO</t>
    </r>
  </si>
  <si>
    <r>
      <rPr>
        <rFont val="Calibri"/>
        <color rgb="FF000000"/>
        <sz val="9.0"/>
      </rPr>
      <t xml:space="preserve">LEITE EM PÓ, </t>
    </r>
    <r>
      <rPr>
        <rFont val="Calibri"/>
        <b/>
        <color rgb="FF000000"/>
        <sz val="9.0"/>
      </rPr>
      <t xml:space="preserve">INTEGRAL, </t>
    </r>
    <r>
      <rPr>
        <rFont val="Calibri"/>
        <color rgb="FF000000"/>
        <sz val="9.0"/>
      </rPr>
      <t>instantâneo, acondicionado em embalagem original com no mínimo 400 g</t>
    </r>
  </si>
  <si>
    <t>MASSA ALIMENTÍCIA, ESPAGUETE, N 08 OU 09, com ovos, acondicionado em embalagem original com 500g</t>
  </si>
  <si>
    <t>Todeschini/Pavesi</t>
  </si>
  <si>
    <r>
      <rPr>
        <rFont val="Calibri"/>
        <color rgb="FF000000"/>
        <sz val="9.0"/>
      </rPr>
      <t xml:space="preserve">MASSA ALIMENTÍCIA, </t>
    </r>
    <r>
      <rPr>
        <rFont val="Calibri"/>
        <b/>
        <color rgb="FF000000"/>
        <sz val="9.0"/>
      </rPr>
      <t>ESPAGUETE</t>
    </r>
    <r>
      <rPr>
        <rFont val="Calibri"/>
        <color rgb="FF000000"/>
        <sz val="9.0"/>
      </rPr>
      <t>, com ovos, acondicionado em embalagem original com 500 g</t>
    </r>
  </si>
  <si>
    <t>MASSA ALIMENTÍCIA, ESPAGUETE, N 08 OU 09, com ovos, acondicionado em embalagem original com 1KG</t>
  </si>
  <si>
    <r>
      <rPr>
        <rFont val="Calibri"/>
        <color rgb="FF000000"/>
        <sz val="9.0"/>
      </rPr>
      <t xml:space="preserve">MASSA ALIMENTÍCIA, </t>
    </r>
    <r>
      <rPr>
        <rFont val="Calibri"/>
        <b/>
        <color rgb="FF000000"/>
        <sz val="9.0"/>
      </rPr>
      <t>ESPAGUETE</t>
    </r>
    <r>
      <rPr>
        <rFont val="Calibri"/>
        <color rgb="FF000000"/>
        <sz val="9.0"/>
      </rPr>
      <t>, com ovos, acondicionado em embalagem original com 750 g</t>
    </r>
  </si>
  <si>
    <r>
      <rPr>
        <rFont val="Calibri"/>
        <color rgb="FF000000"/>
        <sz val="9.0"/>
      </rPr>
      <t xml:space="preserve">MASSA ALIMENTÍCIA, </t>
    </r>
    <r>
      <rPr>
        <rFont val="Calibri"/>
        <b/>
        <color rgb="FF000000"/>
        <sz val="9.0"/>
      </rPr>
      <t>ESPAGUETE</t>
    </r>
    <r>
      <rPr>
        <rFont val="Calibri"/>
        <color rgb="FF000000"/>
        <sz val="9.0"/>
      </rPr>
      <t>, com ovos, acondicionado em embalagem original com 1 kg</t>
    </r>
  </si>
  <si>
    <t>MASSA ALIMENTÍCIA, PARAFUSO, com ovos, acondicionado em embalagem original com 1kg</t>
  </si>
  <si>
    <r>
      <rPr>
        <rFont val="Calibri"/>
        <color rgb="FF000000"/>
        <sz val="9.0"/>
      </rPr>
      <t xml:space="preserve">MASSA ALIMENTÍCIA, </t>
    </r>
    <r>
      <rPr>
        <rFont val="Calibri"/>
        <b/>
        <color rgb="FF000000"/>
        <sz val="9.0"/>
      </rPr>
      <t>ESPAGUETE</t>
    </r>
    <r>
      <rPr>
        <rFont val="Calibri"/>
        <color rgb="FF000000"/>
        <sz val="9.0"/>
      </rPr>
      <t>, com ovos, acondicionado em embalagem original com 400 g</t>
    </r>
  </si>
  <si>
    <r>
      <rPr>
        <rFont val="Calibri"/>
        <color rgb="FF000000"/>
        <sz val="9.0"/>
      </rPr>
      <t xml:space="preserve">MASSA ALIMENTÍCIA, </t>
    </r>
    <r>
      <rPr>
        <rFont val="Calibri"/>
        <b/>
        <color rgb="FF000000"/>
        <sz val="9.0"/>
      </rPr>
      <t>PENNE</t>
    </r>
    <r>
      <rPr>
        <rFont val="Calibri"/>
        <color rgb="FF000000"/>
        <sz val="9.0"/>
      </rPr>
      <t>, com ovos, acondicionado em embalagem original com 500 g</t>
    </r>
  </si>
  <si>
    <t>MASSA ALIMENTÍCIA, PARAFUSO, com ovos, acondicionado em embalagem original com 500g</t>
  </si>
  <si>
    <t>MAIONESE, acondicionado em embalagem original 970 g</t>
  </si>
  <si>
    <t>MAIONESE SACHÊ</t>
  </si>
  <si>
    <t>MAIONESE, acondicionado em embalagem original com no mínimo 500 g</t>
  </si>
  <si>
    <t>MOSTARDA</t>
  </si>
  <si>
    <t>MILHO DE PIPOCA</t>
  </si>
  <si>
    <t>MOLHO SHOYU</t>
  </si>
  <si>
    <t>MOLHO INGLES</t>
  </si>
  <si>
    <t>NÉCTAR DE FRUTA, diversos sabores, em embalagem cartonada asséptica com no mínimo 200 ml – sabores</t>
  </si>
  <si>
    <t>NÉCTAR DE FRUTA, diversos sabores, em embalagem cartonada asséptica com no mínimo 200 ml – sabor  maçã</t>
  </si>
  <si>
    <t>ENTRADAS</t>
  </si>
  <si>
    <t>NÉCTAR DE FRUTA, diversos sabores, em embalagem cartonada asséptica com no mínimo 200 ml – sabor caju</t>
  </si>
  <si>
    <t>NÉCTAR DE FRUTA, diversos sabores, em embalagem cartonada asséptica com no mínimo 200 ml – Uva</t>
  </si>
  <si>
    <t>Dada/Bom Abeça</t>
  </si>
  <si>
    <t>ENTRADA DE ESTOQUE JANEIRO 2023</t>
  </si>
  <si>
    <t>NÉCTAR DE FRUTA, diversos sabores, em embalagem cartonada asséptica com no mínimo 200 ml – Maracujá</t>
  </si>
  <si>
    <t>NÉCTAR DE FRUTA, diversos sabores, em embalagem cartonada asséptica com no mínimo 200 ml – Laranja</t>
  </si>
  <si>
    <t>NÉCTAR DE FRUTA, diversos sabores, em embalagem cartonada asséptica com no mínimo 1000 ml – SABORES</t>
  </si>
  <si>
    <t>MINI-BOLO, sem recheio, acondicionado em embalagem original com no mínimo 30 g</t>
  </si>
  <si>
    <t>OLEO DE SOJA refinado com 900 ml</t>
  </si>
  <si>
    <t>ORÉGANO c/ 3g</t>
  </si>
  <si>
    <t>PATÊ</t>
  </si>
  <si>
    <t>PAÇOCA</t>
  </si>
  <si>
    <t>PE DE MOLEQUE</t>
  </si>
  <si>
    <r>
      <rPr>
        <rFont val="Calibri"/>
        <color rgb="FF000000"/>
        <sz val="9.0"/>
      </rPr>
      <t xml:space="preserve">REFRIGERANTE  composto de extrato de </t>
    </r>
    <r>
      <rPr>
        <rFont val="Calibri"/>
        <b/>
        <color rgb="FF000000"/>
        <sz val="9.0"/>
      </rPr>
      <t>GUARANÁ COMUM</t>
    </r>
    <r>
      <rPr>
        <rFont val="Calibri"/>
        <color rgb="FF000000"/>
        <sz val="9.0"/>
      </rPr>
      <t>, acondicionado em garrafa pet, com tampa de rosca, contendo 2 litros.</t>
    </r>
  </si>
  <si>
    <r>
      <rPr>
        <rFont val="Calibri"/>
        <color rgb="FF000000"/>
        <sz val="9.0"/>
      </rPr>
      <t xml:space="preserve">REFRIGERANTE composto de extrato de </t>
    </r>
    <r>
      <rPr>
        <rFont val="Calibri"/>
        <b/>
        <color rgb="FF000000"/>
        <sz val="9.0"/>
      </rPr>
      <t>COLA ZERO</t>
    </r>
    <r>
      <rPr>
        <rFont val="Calibri"/>
        <color rgb="FF000000"/>
        <sz val="9.0"/>
      </rPr>
      <t>, acondicionado em garrafa pet, com tampa de rosca, contendo 2 litros.</t>
    </r>
  </si>
  <si>
    <r>
      <rPr>
        <rFont val="Calibri"/>
        <color rgb="FF000000"/>
        <sz val="9.0"/>
      </rPr>
      <t xml:space="preserve">REFRIGERANTE composto de extrato de </t>
    </r>
    <r>
      <rPr>
        <rFont val="Calibri"/>
        <b/>
        <color rgb="FF000000"/>
        <sz val="9.0"/>
      </rPr>
      <t>COLA COMUM</t>
    </r>
    <r>
      <rPr>
        <rFont val="Calibri"/>
        <color rgb="FF000000"/>
        <sz val="9.0"/>
      </rPr>
      <t>, acondicionado em garrafa pet, com tampa de rosca, contendo 2 litros.</t>
    </r>
  </si>
  <si>
    <t>REFRIGERANTE composto de extrato de COLA COMUM, acondicionado em garrafa pet, com tampa de rosca, contendo 2 litros</t>
  </si>
  <si>
    <t>REFRIGERANTE composto de extrato de  GUARANA COMUM, acondicionado em garrafa pet, com tampa de rosca, contendo 2 litros</t>
  </si>
  <si>
    <t>TOTAL ENTRADAS</t>
  </si>
  <si>
    <t>SAL, iodado, refinado, acondicionado em embalagem original com 1 kg</t>
  </si>
  <si>
    <t>SUCO DE MARACUJÁ, concentrado, acondicionado em embalagem original com 500 ml</t>
  </si>
  <si>
    <t>SUCO DE UVA, concentrado, acondicionado em embalagem original com 950 ml</t>
  </si>
  <si>
    <t>Yummy</t>
  </si>
  <si>
    <t>SUCO DE GOIABA, concentrado, acondicionado em embalagem original com 500 ml</t>
  </si>
  <si>
    <t>SUCO DE CAJU, concentrado, acondicionado em embalagem original com 500 ml</t>
  </si>
  <si>
    <t>SUCO DE MANGA, CONCENTRADO, embalagem de 500ml</t>
  </si>
  <si>
    <t>SARDINHA EM LATA</t>
  </si>
  <si>
    <t>TAPIOCA granulada</t>
  </si>
  <si>
    <t>TRIGO PARA QUIBE, acondicionado em  embalagem original com 500g</t>
  </si>
  <si>
    <t>UVA PASSA escura, sem semente, embalagem original com no mínimo 200 g</t>
  </si>
  <si>
    <t>VINAGRE DE ÁLCOOL, embalagem original com no mínimo 750 ml</t>
  </si>
  <si>
    <t>Da Fruta</t>
  </si>
  <si>
    <t>Vitaliv/Vila Velha</t>
  </si>
  <si>
    <t>Pirulito</t>
  </si>
  <si>
    <r>
      <rPr>
        <rFont val="Calibri"/>
        <color rgb="FF000000"/>
        <sz val="9.0"/>
      </rPr>
      <t xml:space="preserve">REFRIGERANTE  composto de extrato de </t>
    </r>
    <r>
      <rPr>
        <rFont val="Calibri"/>
        <b/>
        <color rgb="FF000000"/>
        <sz val="9.0"/>
      </rPr>
      <t>PEPSI ZERO</t>
    </r>
    <r>
      <rPr>
        <rFont val="Calibri"/>
        <color rgb="FF000000"/>
        <sz val="9.0"/>
      </rPr>
      <t>, acondicionado em garrafa pet, com tampa de rosca, contendo 2 litros.</t>
    </r>
  </si>
  <si>
    <t>Depende da demanda</t>
  </si>
  <si>
    <r>
      <rPr>
        <rFont val="Calibri"/>
        <color rgb="FF000000"/>
        <sz val="9.0"/>
      </rPr>
      <t xml:space="preserve">REFRIGERANTE  composto de extrato de </t>
    </r>
    <r>
      <rPr>
        <rFont val="Calibri"/>
        <b/>
        <color rgb="FF000000"/>
        <sz val="9.0"/>
      </rPr>
      <t>PEPSI COMUM</t>
    </r>
    <r>
      <rPr>
        <rFont val="Calibri"/>
        <color rgb="FF000000"/>
        <sz val="9.0"/>
      </rPr>
      <t>, acondicionado em garrafa pet, com tampa de rosca, contendo 2 litros.</t>
    </r>
  </si>
  <si>
    <r>
      <rPr>
        <rFont val="Calibri"/>
        <color rgb="FF000000"/>
        <sz val="9.0"/>
      </rPr>
      <t xml:space="preserve">REFRIGERANTE  composto de extrato de </t>
    </r>
    <r>
      <rPr>
        <rFont val="Calibri"/>
        <b/>
        <color rgb="FF000000"/>
        <sz val="9.0"/>
      </rPr>
      <t>GUARANÁ ZERO</t>
    </r>
    <r>
      <rPr>
        <rFont val="Calibri"/>
        <color rgb="FF000000"/>
        <sz val="9.0"/>
      </rPr>
      <t xml:space="preserve"> acondicionado em garrafa pet, com tampa de rosca, contendo 2 litros.</t>
    </r>
  </si>
  <si>
    <r>
      <rPr>
        <rFont val="Calibri"/>
        <color rgb="FF000000"/>
        <sz val="9.0"/>
      </rPr>
      <t xml:space="preserve">REFRIGERANTE  composto de extrato de </t>
    </r>
    <r>
      <rPr>
        <rFont val="Calibri"/>
        <b/>
        <color rgb="FF000000"/>
        <sz val="9.0"/>
      </rPr>
      <t>GUARANÁ COMUM</t>
    </r>
    <r>
      <rPr>
        <rFont val="Calibri"/>
        <color rgb="FF000000"/>
        <sz val="9.0"/>
      </rPr>
      <t>, acondicionado em garrafa pet, com tampa de rosca, contendo 2 litros.</t>
    </r>
  </si>
  <si>
    <t>Cliper</t>
  </si>
  <si>
    <t>120 garrafas de 2L</t>
  </si>
  <si>
    <r>
      <rPr>
        <rFont val="Calibri"/>
        <color rgb="FF000000"/>
        <sz val="9.0"/>
      </rPr>
      <t xml:space="preserve">REFRIGERANTE composto de extrato de </t>
    </r>
    <r>
      <rPr>
        <rFont val="Calibri"/>
        <b/>
        <color rgb="FF000000"/>
        <sz val="9.0"/>
      </rPr>
      <t>COLA ZERO</t>
    </r>
    <r>
      <rPr>
        <rFont val="Calibri"/>
        <color rgb="FF000000"/>
        <sz val="9.0"/>
      </rPr>
      <t>, acondicionado em garrafa pet, com tampa de rosca, contendo 2 litros.</t>
    </r>
  </si>
  <si>
    <r>
      <rPr>
        <rFont val="Calibri"/>
        <color rgb="FF000000"/>
        <sz val="9.0"/>
      </rPr>
      <t xml:space="preserve">REFRIGERANTE composto de extrato de </t>
    </r>
    <r>
      <rPr>
        <rFont val="Calibri"/>
        <b/>
        <color rgb="FF000000"/>
        <sz val="9.0"/>
      </rPr>
      <t>COLA COMUM</t>
    </r>
    <r>
      <rPr>
        <rFont val="Calibri"/>
        <color rgb="FF000000"/>
        <sz val="9.0"/>
      </rPr>
      <t>, acondicionado em garrafa pet, com tampa de rosca, contendo 2 litros.</t>
    </r>
  </si>
  <si>
    <t>6 garrafas de 2L</t>
  </si>
  <si>
    <r>
      <rPr>
        <rFont val="Calibri"/>
        <color rgb="FF000000"/>
        <sz val="9.0"/>
      </rPr>
      <t xml:space="preserve">REFRIGERANTE composto de extrato de </t>
    </r>
    <r>
      <rPr>
        <rFont val="Calibri"/>
        <b/>
        <color rgb="FF000000"/>
        <sz val="9.0"/>
      </rPr>
      <t>LIMÃO</t>
    </r>
    <r>
      <rPr>
        <rFont val="Calibri"/>
        <color rgb="FF000000"/>
        <sz val="9.0"/>
      </rPr>
      <t>, acondicionado em garrafa pet, com tampa de rosca, contendo 2 litros</t>
    </r>
  </si>
  <si>
    <t>12 garrafas de 2L</t>
  </si>
  <si>
    <r>
      <rPr>
        <rFont val="Calibri"/>
        <color rgb="FF000000"/>
        <sz val="9.0"/>
      </rPr>
      <t xml:space="preserve">REFRIGERANTE composto de extrato de  </t>
    </r>
    <r>
      <rPr>
        <rFont val="Calibri"/>
        <b/>
        <color rgb="FF000000"/>
        <sz val="9.0"/>
      </rPr>
      <t>LARANJA</t>
    </r>
    <r>
      <rPr>
        <rFont val="Calibri"/>
        <color rgb="FF000000"/>
        <sz val="9.0"/>
      </rPr>
      <t>, acondicionado em garrafa pet, com tampa de rosca, contendo 2 litros</t>
    </r>
  </si>
  <si>
    <t>24 garradas de 2L</t>
  </si>
  <si>
    <t>Miramar/Rosa</t>
  </si>
  <si>
    <t>SUCO DE MARACUJÁ, concentrado, acondicionado em embalagem original com 1L</t>
  </si>
  <si>
    <t>SUCO DE CAJU, concentrado, acondicionado em embalagem original com 950 ml</t>
  </si>
  <si>
    <t>SUCO DE UVA, concentrado, acondicionado em embalagem original com 1L</t>
  </si>
  <si>
    <t>SUCO DE GOIABA, concentrado, acondicionado em embalagem original com 950 ml</t>
  </si>
  <si>
    <t>SUCO DE CAJU, concentrado, acondicionado em embalagem original com 1L</t>
  </si>
  <si>
    <t>Palmeira</t>
  </si>
  <si>
    <t>UVA PASSA escura, sem semente, embalagem original com no mínimo 100 g</t>
  </si>
  <si>
    <t>Único</t>
  </si>
  <si>
    <t>VINAGRE DE ÁLCOOL, embalagem original com no mínimo 500 ml</t>
  </si>
  <si>
    <t>PROTEINAS</t>
  </si>
  <si>
    <t>PRODUTO</t>
  </si>
  <si>
    <t>QUANT. (kg)</t>
  </si>
  <si>
    <t>VALIDADE</t>
  </si>
  <si>
    <t>Salsicha, tipo hot dog, embalado a vácuo 2,5KG</t>
  </si>
  <si>
    <t>Salsicha, tipo hot dog, embalado a vácuo 5KG</t>
  </si>
  <si>
    <t>Margarina vegetal, embalagem original de 500G</t>
  </si>
  <si>
    <t>Massa de Pastel</t>
  </si>
  <si>
    <t>MANTEIGA 200G</t>
  </si>
  <si>
    <t>MANTEIGA 500G</t>
  </si>
  <si>
    <t>Carne de frango, filé de peito, congelada. </t>
  </si>
  <si>
    <t>Linguiça suína, defumada, grossa, tipo portuguesa ou calabresa, embalada à vácuo. 2.5KG</t>
  </si>
  <si>
    <t>Carne de frango, coxa/sobrecoxa, com osso, congelada. </t>
  </si>
  <si>
    <t>Carne bovina, patinho, moído, limpo, sem tempero, sem   excesso   de  gordura e cartilagem, congelada, PEÇA 1KG</t>
  </si>
  <si>
    <t>Queijo mussarela, não fatiado, acondicionado em embalagem original.</t>
  </si>
  <si>
    <t>Requeião cremoso, tradicional, acondicionado em embalagem original com no mínimo 200g.</t>
  </si>
  <si>
    <t>Carne suína, carré, congelado</t>
  </si>
  <si>
    <t>Peixe pescada, cortado em filé, sem pele, sem espinha, congelado. PACOTE 2KG</t>
  </si>
  <si>
    <t>Carne bovina, músculo, congelada</t>
  </si>
  <si>
    <t>Carne bovina, coxão mole (chã), congelada.</t>
  </si>
  <si>
    <t>Figado</t>
  </si>
  <si>
    <t>Linguiça suina TOSCANA pct 1kg</t>
  </si>
  <si>
    <t>Chester congelado, 70% coxa e peito</t>
  </si>
  <si>
    <t>Coxao duro</t>
  </si>
  <si>
    <t>Carne bovina acem PÇ</t>
  </si>
  <si>
    <t>Moela</t>
  </si>
  <si>
    <t>Lombo</t>
  </si>
  <si>
    <t xml:space="preserve">Lagarto </t>
  </si>
  <si>
    <t>Pernil</t>
  </si>
  <si>
    <t>Mortadela</t>
  </si>
  <si>
    <t>Pao de Queijo</t>
  </si>
  <si>
    <t xml:space="preserve">Presunto </t>
  </si>
  <si>
    <t>7uyq</t>
  </si>
  <si>
    <t>9*12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</si>
</sst>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mm\-yy"/>
    <numFmt numFmtId="165" formatCode="dd/mm/yyyy"/>
    <numFmt numFmtId="166" formatCode="_-&quot;R$&quot;* #,##0.00_-;\-&quot;R$&quot;* #,##0.00_-;_-&quot;R$&quot;* &quot;-&quot;??_-;_-@"/>
    <numFmt numFmtId="167" formatCode="mm/yyyy"/>
    <numFmt numFmtId="168" formatCode="m/d/yyyy"/>
    <numFmt numFmtId="169" formatCode="m/yyyy"/>
    <numFmt numFmtId="170" formatCode="dd/mm/yy"/>
    <numFmt numFmtId="171" formatCode="d/m/yyyy"/>
    <numFmt numFmtId="172" formatCode="d/m/yy"/>
    <numFmt numFmtId="173" formatCode="m/d"/>
    <numFmt numFmtId="174" formatCode="d-m"/>
    <numFmt numFmtId="175" formatCode="mm/dd/yy"/>
    <numFmt numFmtId="176" formatCode="dd/mm"/>
    <numFmt numFmtId="177" formatCode="d/m"/>
  </numFmts>
  <fonts count="2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rgb="FF000000"/>
      <name val="Calibri"/>
    </font>
    <font/>
    <font>
      <b/>
      <sz val="12.0"/>
      <color rgb="FF000000"/>
      <name val="Calibri"/>
    </font>
    <font>
      <color theme="1"/>
      <name val="Calibri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20.0"/>
      <color rgb="FFFFFFFF"/>
      <name val="Calibri"/>
    </font>
    <font>
      <b/>
      <sz val="9.0"/>
      <color rgb="FFFFFFFF"/>
      <name val="Calibri"/>
    </font>
    <font>
      <b/>
      <sz val="11.0"/>
      <color rgb="FFFF0000"/>
      <name val="Calibri"/>
    </font>
    <font>
      <sz val="20.0"/>
      <color rgb="FFFFFFFF"/>
      <name val="Calibri"/>
    </font>
    <font>
      <b/>
      <color rgb="FF000000"/>
      <name val="Calibri"/>
      <scheme val="minor"/>
    </font>
    <font>
      <color rgb="FF000000"/>
      <name val="Calibri"/>
      <scheme val="minor"/>
    </font>
    <font>
      <sz val="9.0"/>
      <color rgb="FF000000"/>
      <name val="Arial"/>
    </font>
    <font>
      <b/>
      <color theme="1"/>
      <name val="Calibri"/>
      <scheme val="minor"/>
    </font>
    <font>
      <b/>
      <sz val="9.0"/>
      <color rgb="FF000000"/>
      <name val="Calibri"/>
    </font>
    <font>
      <b/>
      <sz val="10.0"/>
      <color rgb="FF000000"/>
      <name val="Calibri"/>
    </font>
    <font>
      <b/>
      <sz val="11.0"/>
      <color theme="1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E1F2"/>
        <bgColor rgb="FFD9E1F2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7030A0"/>
        <bgColor rgb="FF7030A0"/>
      </patternFill>
    </fill>
    <fill>
      <patternFill patternType="solid">
        <fgColor rgb="FFD8E4BC"/>
        <bgColor rgb="FFD8E4BC"/>
      </patternFill>
    </fill>
    <fill>
      <patternFill patternType="solid">
        <fgColor rgb="FFFCD5B4"/>
        <bgColor rgb="FFFCD5B4"/>
      </patternFill>
    </fill>
    <fill>
      <patternFill patternType="solid">
        <fgColor rgb="FF7F7F7F"/>
        <bgColor rgb="FF7F7F7F"/>
      </patternFill>
    </fill>
    <fill>
      <patternFill patternType="solid">
        <fgColor rgb="FF305496"/>
        <bgColor rgb="FF305496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6B26B"/>
        <bgColor rgb="FFF6B26B"/>
      </patternFill>
    </fill>
    <fill>
      <patternFill patternType="solid">
        <fgColor rgb="FFD0CECE"/>
        <bgColor rgb="FFD0CECE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right/>
      <top style="thin">
        <color rgb="FFFFFFFF"/>
      </top>
      <bottom/>
    </border>
    <border>
      <left/>
      <bottom/>
    </border>
    <border>
      <bottom/>
    </border>
    <border>
      <right/>
      <bottom/>
    </border>
    <border>
      <left/>
      <right/>
      <top style="thin">
        <color rgb="FF305496"/>
      </top>
      <bottom/>
    </border>
    <border>
      <left/>
      <right/>
      <top/>
      <bottom style="thin">
        <color rgb="FF305496"/>
      </bottom>
    </border>
    <border>
      <left/>
      <right/>
      <top/>
    </border>
    <border>
      <left/>
      <right/>
      <bottom/>
    </border>
    <border>
      <left style="thin">
        <color rgb="FF000000"/>
      </left>
      <top/>
      <bottom/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3" fontId="2" numFmtId="0" xfId="0" applyAlignment="1" applyBorder="1" applyFill="1" applyFont="1">
      <alignment readingOrder="0"/>
    </xf>
    <xf borderId="3" fillId="4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2" fillId="3" fontId="2" numFmtId="0" xfId="0" applyBorder="1" applyFont="1"/>
    <xf borderId="2" fillId="4" fontId="5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5" fontId="1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8" fillId="6" fontId="1" numFmtId="0" xfId="0" applyAlignment="1" applyBorder="1" applyFill="1" applyFont="1">
      <alignment horizontal="center" readingOrder="0" shrinkToFit="0" vertical="bottom" wrapText="0"/>
    </xf>
    <xf borderId="3" fillId="7" fontId="7" numFmtId="164" xfId="0" applyAlignment="1" applyBorder="1" applyFill="1" applyFont="1" applyNumberFormat="1">
      <alignment horizontal="center"/>
    </xf>
    <xf borderId="2" fillId="7" fontId="8" numFmtId="165" xfId="0" applyAlignment="1" applyBorder="1" applyFont="1" applyNumberFormat="1">
      <alignment horizontal="center" readingOrder="0"/>
    </xf>
    <xf borderId="4" fillId="8" fontId="1" numFmtId="0" xfId="0" applyAlignment="1" applyBorder="1" applyFill="1" applyFont="1">
      <alignment horizontal="center" readingOrder="0" shrinkToFit="0" vertical="bottom" wrapText="0"/>
    </xf>
    <xf borderId="2" fillId="7" fontId="8" numFmtId="0" xfId="0" applyAlignment="1" applyBorder="1" applyFont="1">
      <alignment horizontal="center" readingOrder="0"/>
    </xf>
    <xf borderId="0" fillId="0" fontId="2" numFmtId="0" xfId="0" applyAlignment="1" applyFont="1">
      <alignment horizontal="left" vertical="center"/>
    </xf>
    <xf borderId="8" fillId="9" fontId="1" numFmtId="0" xfId="0" applyAlignment="1" applyBorder="1" applyFill="1" applyFont="1">
      <alignment horizontal="center" readingOrder="0" shrinkToFit="0" vertical="bottom" wrapText="0"/>
    </xf>
    <xf borderId="0" fillId="0" fontId="9" numFmtId="0" xfId="0" applyFont="1"/>
    <xf borderId="3" fillId="7" fontId="7" numFmtId="0" xfId="0" applyAlignment="1" applyBorder="1" applyFont="1">
      <alignment horizontal="center"/>
    </xf>
    <xf borderId="0" fillId="0" fontId="2" numFmtId="49" xfId="0" applyAlignment="1" applyFont="1" applyNumberFormat="1">
      <alignment horizontal="center"/>
    </xf>
    <xf borderId="8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2" fillId="10" fontId="1" numFmtId="0" xfId="0" applyAlignment="1" applyBorder="1" applyFill="1" applyFont="1">
      <alignment horizontal="center" vertical="center"/>
    </xf>
    <xf borderId="8" fillId="0" fontId="2" numFmtId="165" xfId="0" applyAlignment="1" applyBorder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vertical="center"/>
    </xf>
    <xf borderId="2" fillId="11" fontId="10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3" fillId="12" fontId="1" numFmtId="0" xfId="0" applyAlignment="1" applyBorder="1" applyFill="1" applyFont="1">
      <alignment horizontal="center"/>
    </xf>
    <xf borderId="2" fillId="12" fontId="5" numFmtId="0" xfId="0" applyAlignment="1" applyBorder="1" applyFont="1">
      <alignment horizontal="center" shrinkToFit="0" vertical="center" wrapText="1"/>
    </xf>
    <xf borderId="9" fillId="11" fontId="10" numFmtId="0" xfId="0" applyAlignment="1" applyBorder="1" applyFont="1">
      <alignment horizontal="center" vertical="center"/>
    </xf>
    <xf borderId="2" fillId="12" fontId="5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2" fillId="13" fontId="7" numFmtId="0" xfId="0" applyAlignment="1" applyBorder="1" applyFill="1" applyFont="1">
      <alignment horizontal="center" vertical="center"/>
    </xf>
    <xf borderId="12" fillId="11" fontId="10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3" numFmtId="14" xfId="0" applyAlignment="1" applyFont="1" applyNumberForma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0" fillId="0" fontId="1" numFmtId="49" xfId="0" applyAlignment="1" applyFont="1" applyNumberFormat="1">
      <alignment horizontal="center"/>
    </xf>
    <xf borderId="14" fillId="0" fontId="4" numFmtId="0" xfId="0" applyBorder="1" applyFont="1"/>
    <xf borderId="15" fillId="0" fontId="4" numFmtId="0" xfId="0" applyBorder="1" applyFont="1"/>
    <xf borderId="0" fillId="0" fontId="2" numFmtId="167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8" fillId="0" fontId="6" numFmtId="0" xfId="0" applyAlignment="1" applyBorder="1" applyFont="1">
      <alignment readingOrder="0"/>
    </xf>
    <xf borderId="2" fillId="14" fontId="3" numFmtId="0" xfId="0" applyAlignment="1" applyBorder="1" applyFill="1" applyFont="1">
      <alignment horizontal="center" shrinkToFit="0" vertical="center" wrapText="1"/>
    </xf>
    <xf borderId="8" fillId="0" fontId="6" numFmtId="0" xfId="0" applyBorder="1" applyFont="1"/>
    <xf borderId="2" fillId="14" fontId="1" numFmtId="0" xfId="0" applyAlignment="1" applyBorder="1" applyFont="1">
      <alignment horizontal="center" readingOrder="0" shrinkToFit="0" vertical="center" wrapText="1"/>
    </xf>
    <xf borderId="8" fillId="0" fontId="6" numFmtId="165" xfId="0" applyAlignment="1" applyBorder="1" applyFont="1" applyNumberFormat="1">
      <alignment readingOrder="0"/>
    </xf>
    <xf borderId="2" fillId="14" fontId="3" numFmtId="169" xfId="0" applyAlignment="1" applyBorder="1" applyFont="1" applyNumberFormat="1">
      <alignment horizontal="center" readingOrder="0" shrinkToFit="0" vertical="center" wrapText="1"/>
    </xf>
    <xf borderId="2" fillId="14" fontId="3" numFmtId="0" xfId="0" applyAlignment="1" applyBorder="1" applyFont="1">
      <alignment horizontal="center" readingOrder="0" shrinkToFit="0" vertical="center" wrapText="1"/>
    </xf>
    <xf borderId="0" fillId="15" fontId="1" numFmtId="49" xfId="0" applyAlignment="1" applyFill="1" applyFont="1" applyNumberFormat="1">
      <alignment horizontal="center" readingOrder="0"/>
    </xf>
    <xf borderId="16" fillId="3" fontId="2" numFmtId="0" xfId="0" applyBorder="1" applyFont="1"/>
    <xf borderId="2" fillId="16" fontId="2" numFmtId="0" xfId="0" applyBorder="1" applyFill="1" applyFont="1"/>
    <xf borderId="0" fillId="0" fontId="2" numFmtId="0" xfId="0" applyFont="1"/>
    <xf borderId="0" fillId="17" fontId="3" numFmtId="0" xfId="0" applyAlignment="1" applyFill="1" applyFont="1">
      <alignment horizontal="center" shrinkToFit="0" vertical="center" wrapText="1"/>
    </xf>
    <xf borderId="0" fillId="17" fontId="1" numFmtId="0" xfId="0" applyAlignment="1" applyFont="1">
      <alignment horizontal="center" readingOrder="0" shrinkToFit="0" vertical="center" wrapText="1"/>
    </xf>
    <xf borderId="0" fillId="17" fontId="3" numFmtId="170" xfId="0" applyAlignment="1" applyFont="1" applyNumberFormat="1">
      <alignment horizontal="center" shrinkToFit="0" vertical="center" wrapText="1"/>
    </xf>
    <xf borderId="17" fillId="3" fontId="2" numFmtId="0" xfId="0" applyBorder="1" applyFont="1"/>
    <xf borderId="0" fillId="15" fontId="1" numFmtId="166" xfId="0" applyAlignment="1" applyFont="1" applyNumberFormat="1">
      <alignment horizontal="center" readingOrder="0"/>
    </xf>
    <xf borderId="0" fillId="0" fontId="3" numFmtId="170" xfId="0" applyAlignment="1" applyFont="1" applyNumberFormat="1">
      <alignment horizontal="center"/>
    </xf>
    <xf borderId="2" fillId="7" fontId="1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0" fillId="15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14" fontId="3" numFmtId="0" xfId="0" applyAlignment="1" applyFont="1">
      <alignment horizontal="center" shrinkToFit="0" vertical="center" wrapText="1"/>
    </xf>
    <xf borderId="0" fillId="14" fontId="1" numFmtId="0" xfId="0" applyAlignment="1" applyFont="1">
      <alignment horizontal="center" readingOrder="0" shrinkToFit="0" vertical="center" wrapText="1"/>
    </xf>
    <xf borderId="3" fillId="11" fontId="12" numFmtId="0" xfId="0" applyAlignment="1" applyBorder="1" applyFont="1">
      <alignment horizontal="center"/>
    </xf>
    <xf borderId="0" fillId="14" fontId="3" numFmtId="0" xfId="0" applyAlignment="1" applyFont="1">
      <alignment horizontal="center" readingOrder="0" shrinkToFit="0" vertical="center" wrapText="1"/>
    </xf>
    <xf borderId="12" fillId="11" fontId="2" numFmtId="0" xfId="0" applyBorder="1" applyFont="1"/>
    <xf borderId="0" fillId="14" fontId="1" numFmtId="3" xfId="0" applyAlignment="1" applyFont="1" applyNumberFormat="1">
      <alignment horizontal="center" readingOrder="0" shrinkToFit="0" vertical="center" wrapText="1"/>
    </xf>
    <xf borderId="12" fillId="11" fontId="13" numFmtId="0" xfId="0" applyAlignment="1" applyBorder="1" applyFont="1">
      <alignment vertical="center"/>
    </xf>
    <xf borderId="2" fillId="14" fontId="1" numFmtId="3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17" fontId="3" numFmtId="167" xfId="0" applyAlignment="1" applyFont="1" applyNumberFormat="1">
      <alignment horizontal="center" readingOrder="0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4" fontId="2" numFmtId="0" xfId="0" applyBorder="1" applyFont="1"/>
    <xf borderId="0" fillId="14" fontId="3" numFmtId="165" xfId="0" applyAlignment="1" applyFont="1" applyNumberFormat="1">
      <alignment horizontal="center" readingOrder="0" shrinkToFit="0" vertical="center" wrapText="1"/>
    </xf>
    <xf borderId="0" fillId="0" fontId="3" numFmtId="170" xfId="0" applyAlignment="1" applyFont="1" applyNumberFormat="1">
      <alignment horizontal="center" readingOrder="0"/>
    </xf>
    <xf borderId="0" fillId="14" fontId="3" numFmtId="171" xfId="0" applyAlignment="1" applyFont="1" applyNumberFormat="1">
      <alignment horizontal="center" readingOrder="0" shrinkToFit="0" vertical="center" wrapText="1"/>
    </xf>
    <xf borderId="2" fillId="15" fontId="3" numFmtId="0" xfId="0" applyAlignment="1" applyBorder="1" applyFont="1">
      <alignment horizontal="center" shrinkToFit="0" vertical="center" wrapText="1"/>
    </xf>
    <xf borderId="2" fillId="15" fontId="1" numFmtId="3" xfId="0" applyAlignment="1" applyBorder="1" applyFont="1" applyNumberFormat="1">
      <alignment horizontal="center" shrinkToFit="0" vertical="center" wrapText="1"/>
    </xf>
    <xf borderId="2" fillId="15" fontId="3" numFmtId="170" xfId="0" applyAlignment="1" applyBorder="1" applyFont="1" applyNumberFormat="1">
      <alignment horizontal="center" shrinkToFit="0" vertical="center" wrapText="1"/>
    </xf>
    <xf borderId="0" fillId="15" fontId="6" numFmtId="0" xfId="0" applyFont="1"/>
    <xf borderId="0" fillId="0" fontId="2" numFmtId="168" xfId="0" applyFont="1" applyNumberFormat="1"/>
    <xf borderId="2" fillId="14" fontId="3" numFmtId="171" xfId="0" applyAlignment="1" applyBorder="1" applyFont="1" applyNumberFormat="1">
      <alignment horizontal="center" readingOrder="0" shrinkToFit="0" vertical="center" wrapText="1"/>
    </xf>
    <xf borderId="9" fillId="11" fontId="10" numFmtId="0" xfId="0" applyAlignment="1" applyBorder="1" applyFont="1">
      <alignment horizontal="center" readingOrder="0" vertical="center"/>
    </xf>
    <xf borderId="0" fillId="0" fontId="2" numFmtId="172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170" xfId="0" applyFont="1" applyNumberFormat="1"/>
    <xf borderId="2" fillId="15" fontId="1" numFmtId="0" xfId="0" applyAlignment="1" applyBorder="1" applyFont="1">
      <alignment horizontal="center" shrinkToFit="0" vertical="center" wrapText="1"/>
    </xf>
    <xf borderId="2" fillId="15" fontId="3" numFmtId="14" xfId="0" applyAlignment="1" applyBorder="1" applyFont="1" applyNumberFormat="1">
      <alignment horizontal="center" shrinkToFit="0" vertical="center" wrapText="1"/>
    </xf>
    <xf borderId="0" fillId="15" fontId="1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164" xfId="0" applyFont="1" applyNumberFormat="1"/>
    <xf borderId="0" fillId="14" fontId="3" numFmtId="167" xfId="0" applyAlignment="1" applyFont="1" applyNumberFormat="1">
      <alignment horizontal="center" readingOrder="0" shrinkToFit="0" vertical="center" wrapText="1"/>
    </xf>
    <xf borderId="0" fillId="0" fontId="3" numFmtId="170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17" fontId="3" numFmtId="0" xfId="0" applyAlignment="1" applyFont="1">
      <alignment horizontal="center" readingOrder="0" shrinkToFit="0" vertical="center" wrapText="1"/>
    </xf>
    <xf borderId="0" fillId="17" fontId="3" numFmtId="169" xfId="0" applyAlignment="1" applyFont="1" applyNumberFormat="1">
      <alignment horizontal="center" readingOrder="0" shrinkToFit="0" vertical="center" wrapText="1"/>
    </xf>
    <xf borderId="0" fillId="14" fontId="3" numFmtId="169" xfId="0" applyAlignment="1" applyFont="1" applyNumberFormat="1">
      <alignment horizontal="center" readingOrder="0" shrinkToFit="0" vertical="center" wrapText="1"/>
    </xf>
    <xf borderId="2" fillId="17" fontId="3" numFmtId="0" xfId="0" applyAlignment="1" applyBorder="1" applyFont="1">
      <alignment horizontal="center" readingOrder="0" shrinkToFit="0" vertical="center" wrapText="1"/>
    </xf>
    <xf borderId="0" fillId="14" fontId="3" numFmtId="167" xfId="0" applyAlignment="1" applyFont="1" applyNumberFormat="1">
      <alignment horizontal="center" readingOrder="0" vertical="center"/>
    </xf>
    <xf borderId="0" fillId="15" fontId="1" numFmtId="167" xfId="0" applyAlignment="1" applyFont="1" applyNumberFormat="1">
      <alignment horizontal="center" readingOrder="0"/>
    </xf>
    <xf borderId="0" fillId="15" fontId="3" numFmtId="0" xfId="0" applyAlignment="1" applyFont="1">
      <alignment horizontal="center"/>
    </xf>
    <xf borderId="0" fillId="15" fontId="3" numFmtId="170" xfId="0" applyAlignment="1" applyFont="1" applyNumberFormat="1">
      <alignment horizontal="center"/>
    </xf>
    <xf borderId="0" fillId="14" fontId="3" numFmtId="0" xfId="0" applyAlignment="1" applyFont="1">
      <alignment horizontal="center" readingOrder="0" vertical="center"/>
    </xf>
    <xf borderId="0" fillId="15" fontId="3" numFmtId="0" xfId="0" applyAlignment="1" applyFont="1">
      <alignment horizontal="center" shrinkToFit="0" vertical="center" wrapText="1"/>
    </xf>
    <xf borderId="0" fillId="15" fontId="1" numFmtId="0" xfId="0" applyAlignment="1" applyFont="1">
      <alignment horizontal="center" shrinkToFit="0" vertical="center" wrapText="1"/>
    </xf>
    <xf borderId="0" fillId="15" fontId="3" numFmtId="14" xfId="0" applyAlignment="1" applyFont="1" applyNumberFormat="1">
      <alignment horizontal="center" shrinkToFit="0" vertical="center" wrapText="1"/>
    </xf>
    <xf borderId="0" fillId="17" fontId="14" numFmtId="0" xfId="0" applyAlignment="1" applyFont="1">
      <alignment horizontal="center" readingOrder="0"/>
    </xf>
    <xf borderId="0" fillId="17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14" fontId="3" numFmtId="165" xfId="0" applyAlignment="1" applyFont="1" applyNumberFormat="1">
      <alignment horizontal="center" readingOrder="0" vertical="center"/>
    </xf>
    <xf borderId="0" fillId="14" fontId="3" numFmtId="173" xfId="0" applyAlignment="1" applyFont="1" applyNumberFormat="1">
      <alignment horizontal="center" readingOrder="0" shrinkToFit="0" vertical="center" wrapText="1"/>
    </xf>
    <xf borderId="2" fillId="15" fontId="2" numFmtId="0" xfId="0" applyBorder="1" applyFont="1"/>
    <xf borderId="2" fillId="18" fontId="2" numFmtId="0" xfId="0" applyBorder="1" applyFill="1" applyFont="1"/>
    <xf borderId="0" fillId="19" fontId="1" numFmtId="170" xfId="0" applyAlignment="1" applyFill="1" applyFont="1" applyNumberFormat="1">
      <alignment horizontal="center" readingOrder="0"/>
    </xf>
    <xf borderId="0" fillId="19" fontId="3" numFmtId="0" xfId="0" applyAlignment="1" applyFont="1">
      <alignment horizontal="center"/>
    </xf>
    <xf borderId="0" fillId="19" fontId="3" numFmtId="170" xfId="0" applyAlignment="1" applyFont="1" applyNumberFormat="1">
      <alignment horizontal="center"/>
    </xf>
    <xf borderId="0" fillId="19" fontId="1" numFmtId="0" xfId="0" applyAlignment="1" applyFont="1">
      <alignment horizontal="center"/>
    </xf>
    <xf borderId="0" fillId="19" fontId="6" numFmtId="0" xfId="0" applyFont="1"/>
    <xf borderId="2" fillId="19" fontId="2" numFmtId="0" xfId="0" applyBorder="1" applyFont="1"/>
    <xf borderId="2" fillId="15" fontId="3" numFmtId="0" xfId="0" applyAlignment="1" applyBorder="1" applyFont="1">
      <alignment horizontal="center" readingOrder="0" shrinkToFit="0" vertical="center" wrapText="1"/>
    </xf>
    <xf borderId="2" fillId="15" fontId="1" numFmtId="0" xfId="0" applyAlignment="1" applyBorder="1" applyFont="1">
      <alignment horizontal="center" readingOrder="0" shrinkToFit="0" vertical="center" wrapText="1"/>
    </xf>
    <xf borderId="2" fillId="15" fontId="3" numFmtId="167" xfId="0" applyAlignment="1" applyBorder="1" applyFont="1" applyNumberFormat="1">
      <alignment horizontal="center" readingOrder="0" shrinkToFit="0" vertical="center" wrapText="1"/>
    </xf>
    <xf borderId="2" fillId="4" fontId="3" numFmtId="0" xfId="0" applyAlignment="1" applyBorder="1" applyFont="1">
      <alignment horizontal="center"/>
    </xf>
    <xf borderId="0" fillId="17" fontId="3" numFmtId="17" xfId="0" applyAlignment="1" applyFont="1" applyNumberFormat="1">
      <alignment horizontal="center" readingOrder="0" shrinkToFit="0" vertical="center" wrapText="1"/>
    </xf>
    <xf borderId="2" fillId="7" fontId="11" numFmtId="0" xfId="0" applyAlignment="1" applyBorder="1" applyFont="1">
      <alignment horizontal="center"/>
    </xf>
    <xf borderId="0" fillId="14" fontId="15" numFmtId="0" xfId="0" applyAlignment="1" applyFont="1">
      <alignment readingOrder="0"/>
    </xf>
    <xf borderId="2" fillId="14" fontId="3" numFmtId="167" xfId="0" applyAlignment="1" applyBorder="1" applyFont="1" applyNumberFormat="1">
      <alignment horizontal="center" readingOrder="0" shrinkToFit="0" vertical="center" wrapText="1"/>
    </xf>
    <xf borderId="0" fillId="0" fontId="1" numFmtId="170" xfId="0" applyAlignment="1" applyFont="1" applyNumberFormat="1">
      <alignment horizontal="center"/>
    </xf>
    <xf borderId="2" fillId="17" fontId="3" numFmtId="167" xfId="0" applyAlignment="1" applyBorder="1" applyFont="1" applyNumberFormat="1">
      <alignment horizontal="center" readingOrder="0" shrinkToFit="0" vertical="center" wrapText="1"/>
    </xf>
    <xf borderId="0" fillId="0" fontId="3" numFmtId="14" xfId="0" applyAlignment="1" applyFont="1" applyNumberFormat="1">
      <alignment horizontal="center"/>
    </xf>
    <xf borderId="2" fillId="14" fontId="16" numFmtId="0" xfId="0" applyAlignment="1" applyBorder="1" applyFont="1">
      <alignment horizontal="center" readingOrder="0" shrinkToFit="0" vertical="center" wrapText="1"/>
    </xf>
    <xf borderId="0" fillId="15" fontId="1" numFmtId="0" xfId="0" applyAlignment="1" applyFont="1">
      <alignment horizontal="center" readingOrder="0" vertical="center"/>
    </xf>
    <xf borderId="0" fillId="14" fontId="16" numFmtId="0" xfId="0" applyAlignment="1" applyFont="1">
      <alignment horizontal="center" readingOrder="0" shrinkToFit="0" vertical="center" wrapText="1"/>
    </xf>
    <xf borderId="0" fillId="14" fontId="16" numFmtId="0" xfId="0" applyAlignment="1" applyFont="1">
      <alignment horizontal="center" shrinkToFit="0" vertical="center" wrapText="1"/>
    </xf>
    <xf borderId="0" fillId="20" fontId="3" numFmtId="0" xfId="0" applyAlignment="1" applyFill="1" applyFont="1">
      <alignment horizontal="center" shrinkToFit="0" vertical="center" wrapText="1"/>
    </xf>
    <xf borderId="0" fillId="14" fontId="1" numFmtId="0" xfId="0" applyAlignment="1" applyFont="1">
      <alignment horizontal="center" shrinkToFit="0" vertical="center" wrapText="1"/>
    </xf>
    <xf borderId="0" fillId="20" fontId="1" numFmtId="0" xfId="0" applyAlignment="1" applyFont="1">
      <alignment horizontal="center" shrinkToFit="0" vertical="center" wrapText="1"/>
    </xf>
    <xf borderId="0" fillId="14" fontId="3" numFmtId="170" xfId="0" applyAlignment="1" applyFont="1" applyNumberFormat="1">
      <alignment horizontal="center" shrinkToFit="0" vertical="center" wrapText="1"/>
    </xf>
    <xf borderId="2" fillId="20" fontId="3" numFmtId="0" xfId="0" applyAlignment="1" applyBorder="1" applyFont="1">
      <alignment horizontal="center" shrinkToFit="0" vertical="center" wrapText="1"/>
    </xf>
    <xf borderId="2" fillId="20" fontId="1" numFmtId="0" xfId="0" applyAlignment="1" applyBorder="1" applyFont="1">
      <alignment horizontal="center" readingOrder="0" shrinkToFit="0" vertical="center" wrapText="1"/>
    </xf>
    <xf borderId="2" fillId="14" fontId="16" numFmtId="0" xfId="0" applyAlignment="1" applyBorder="1" applyFont="1">
      <alignment horizontal="center" shrinkToFit="0" vertical="center" wrapText="1"/>
    </xf>
    <xf borderId="2" fillId="14" fontId="1" numFmtId="0" xfId="0" applyAlignment="1" applyBorder="1" applyFont="1">
      <alignment horizontal="center" shrinkToFit="0" vertical="center" wrapText="1"/>
    </xf>
    <xf borderId="0" fillId="20" fontId="1" numFmtId="0" xfId="0" applyAlignment="1" applyFont="1">
      <alignment horizontal="center" readingOrder="0" shrinkToFit="0" vertical="center" wrapText="1"/>
    </xf>
    <xf borderId="0" fillId="17" fontId="17" numFmtId="0" xfId="0" applyAlignment="1" applyFont="1">
      <alignment readingOrder="0"/>
    </xf>
    <xf borderId="2" fillId="17" fontId="1" numFmtId="3" xfId="0" applyAlignment="1" applyBorder="1" applyFont="1" applyNumberFormat="1">
      <alignment horizontal="center" readingOrder="0" shrinkToFit="0" vertical="center" wrapText="1"/>
    </xf>
    <xf borderId="0" fillId="14" fontId="17" numFmtId="0" xfId="0" applyAlignment="1" applyFont="1">
      <alignment readingOrder="0"/>
    </xf>
    <xf borderId="0" fillId="20" fontId="3" numFmtId="0" xfId="0" applyAlignment="1" applyFont="1">
      <alignment horizontal="center" readingOrder="0" shrinkToFit="0" vertical="center" wrapText="1"/>
    </xf>
    <xf borderId="2" fillId="20" fontId="1" numFmtId="3" xfId="0" applyAlignment="1" applyBorder="1" applyFont="1" applyNumberFormat="1">
      <alignment horizontal="center" shrinkToFit="0" vertical="center" wrapText="1"/>
    </xf>
    <xf borderId="2" fillId="20" fontId="3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15" fontId="3" numFmtId="170" xfId="0" applyAlignment="1" applyFont="1" applyNumberFormat="1">
      <alignment horizontal="center" shrinkToFit="0" vertical="center" wrapText="1"/>
    </xf>
    <xf borderId="0" fillId="14" fontId="3" numFmtId="170" xfId="0" applyAlignment="1" applyFont="1" applyNumberFormat="1">
      <alignment horizontal="center" readingOrder="0"/>
    </xf>
    <xf borderId="0" fillId="14" fontId="3" numFmtId="0" xfId="0" applyAlignment="1" applyFont="1">
      <alignment horizontal="center" readingOrder="0"/>
    </xf>
    <xf borderId="0" fillId="20" fontId="17" numFmtId="0" xfId="0" applyAlignment="1" applyFont="1">
      <alignment horizontal="center" readingOrder="0"/>
    </xf>
    <xf borderId="2" fillId="20" fontId="3" numFmtId="166" xfId="0" applyAlignment="1" applyBorder="1" applyFont="1" applyNumberFormat="1">
      <alignment horizontal="center" vertical="center"/>
    </xf>
    <xf borderId="0" fillId="20" fontId="3" numFmtId="166" xfId="0" applyAlignment="1" applyFont="1" applyNumberFormat="1">
      <alignment horizontal="center" vertical="center"/>
    </xf>
    <xf borderId="2" fillId="14" fontId="19" numFmtId="0" xfId="0" applyAlignment="1" applyBorder="1" applyFont="1">
      <alignment horizontal="center" readingOrder="0" shrinkToFit="0" vertical="center" wrapText="1"/>
    </xf>
    <xf borderId="2" fillId="14" fontId="3" numFmtId="165" xfId="0" applyAlignment="1" applyBorder="1" applyFont="1" applyNumberFormat="1">
      <alignment horizontal="center" readingOrder="0" shrinkToFit="0" vertical="center" wrapText="1"/>
    </xf>
    <xf borderId="0" fillId="15" fontId="18" numFmtId="0" xfId="0" applyAlignment="1" applyFont="1">
      <alignment horizontal="center" shrinkToFit="0" vertical="center" wrapText="1"/>
    </xf>
    <xf borderId="0" fillId="20" fontId="6" numFmtId="0" xfId="0" applyAlignment="1" applyFont="1">
      <alignment readingOrder="0"/>
    </xf>
    <xf borderId="2" fillId="17" fontId="1" numFmtId="0" xfId="0" applyAlignment="1" applyBorder="1" applyFont="1">
      <alignment horizontal="center" readingOrder="0" shrinkToFit="0" vertical="center" wrapText="1"/>
    </xf>
    <xf borderId="0" fillId="0" fontId="6" numFmtId="174" xfId="0" applyAlignment="1" applyFont="1" applyNumberFormat="1">
      <alignment readingOrder="0"/>
    </xf>
    <xf borderId="0" fillId="14" fontId="6" numFmtId="0" xfId="0" applyAlignment="1" applyFont="1">
      <alignment readingOrder="0"/>
    </xf>
    <xf borderId="2" fillId="20" fontId="16" numFmtId="0" xfId="0" applyAlignment="1" applyBorder="1" applyFont="1">
      <alignment horizontal="center" readingOrder="0" shrinkToFit="0" vertical="center" wrapText="1"/>
    </xf>
    <xf borderId="0" fillId="20" fontId="16" numFmtId="0" xfId="0" applyAlignment="1" applyFont="1">
      <alignment horizontal="center" readingOrder="0" shrinkToFit="0" vertical="center" wrapText="1"/>
    </xf>
    <xf borderId="0" fillId="20" fontId="16" numFmtId="0" xfId="0" applyAlignment="1" applyFont="1">
      <alignment horizontal="center" shrinkToFit="0" vertical="center" wrapText="1"/>
    </xf>
    <xf borderId="2" fillId="20" fontId="16" numFmtId="0" xfId="0" applyAlignment="1" applyBorder="1" applyFont="1">
      <alignment horizontal="center" shrinkToFit="0" vertical="center" wrapText="1"/>
    </xf>
    <xf borderId="2" fillId="20" fontId="1" numFmtId="0" xfId="0" applyAlignment="1" applyBorder="1" applyFont="1">
      <alignment horizontal="center" shrinkToFit="0" vertical="center" wrapText="1"/>
    </xf>
    <xf borderId="0" fillId="17" fontId="3" numFmtId="170" xfId="0" applyAlignment="1" applyFont="1" applyNumberFormat="1">
      <alignment horizontal="center" readingOrder="0" shrinkToFit="0" vertical="center" wrapText="1"/>
    </xf>
    <xf borderId="0" fillId="17" fontId="3" numFmtId="165" xfId="0" applyAlignment="1" applyFont="1" applyNumberFormat="1">
      <alignment horizontal="center" readingOrder="0" shrinkToFit="0" vertical="center" wrapText="1"/>
    </xf>
    <xf borderId="0" fillId="20" fontId="3" numFmtId="166" xfId="0" applyAlignment="1" applyFont="1" applyNumberFormat="1">
      <alignment horizontal="center"/>
    </xf>
    <xf borderId="2" fillId="20" fontId="19" numFmtId="0" xfId="0" applyAlignment="1" applyBorder="1" applyFont="1">
      <alignment horizontal="center" readingOrder="0" shrinkToFit="0" vertical="center" wrapText="1"/>
    </xf>
    <xf borderId="0" fillId="17" fontId="6" numFmtId="0" xfId="0" applyFont="1"/>
    <xf borderId="3" fillId="7" fontId="8" numFmtId="0" xfId="0" applyAlignment="1" applyBorder="1" applyFont="1">
      <alignment horizontal="center"/>
    </xf>
    <xf borderId="0" fillId="20" fontId="20" numFmtId="0" xfId="0" applyAlignment="1" applyFont="1">
      <alignment horizontal="center" readingOrder="0"/>
    </xf>
    <xf borderId="0" fillId="0" fontId="1" numFmtId="0" xfId="0" applyFont="1"/>
    <xf borderId="0" fillId="20" fontId="21" numFmtId="0" xfId="0" applyAlignment="1" applyFont="1">
      <alignment horizontal="center" shrinkToFit="0" vertical="center" wrapText="1"/>
    </xf>
    <xf borderId="2" fillId="20" fontId="3" numFmtId="0" xfId="0" applyAlignment="1" applyBorder="1" applyFont="1">
      <alignment horizontal="center"/>
    </xf>
    <xf borderId="0" fillId="0" fontId="3" numFmtId="170" xfId="0" applyAlignment="1" applyFont="1" applyNumberFormat="1">
      <alignment horizontal="center" shrinkToFit="0" vertical="center" wrapText="1"/>
    </xf>
    <xf borderId="2" fillId="17" fontId="3" numFmtId="0" xfId="0" applyAlignment="1" applyBorder="1" applyFont="1">
      <alignment horizontal="center" shrinkToFit="0" vertical="center" wrapText="1"/>
    </xf>
    <xf borderId="0" fillId="17" fontId="1" numFmtId="0" xfId="0" applyAlignment="1" applyFont="1">
      <alignment horizontal="center" readingOrder="0"/>
    </xf>
    <xf borderId="0" fillId="20" fontId="20" numFmtId="0" xfId="0" applyAlignment="1" applyFont="1">
      <alignment horizontal="center" readingOrder="0" shrinkToFit="0" vertical="center" wrapText="1"/>
    </xf>
    <xf borderId="0" fillId="14" fontId="1" numFmtId="0" xfId="0" applyAlignment="1" applyFont="1">
      <alignment horizontal="center" readingOrder="0"/>
    </xf>
    <xf borderId="0" fillId="20" fontId="1" numFmtId="3" xfId="0" applyAlignment="1" applyFont="1" applyNumberFormat="1">
      <alignment horizontal="center" readingOrder="0" shrinkToFit="0" vertical="center" wrapText="1"/>
    </xf>
    <xf borderId="0" fillId="17" fontId="3" numFmtId="171" xfId="0" applyAlignment="1" applyFont="1" applyNumberFormat="1">
      <alignment horizontal="center" readingOrder="0" shrinkToFit="0" vertical="center" wrapText="1"/>
    </xf>
    <xf borderId="2" fillId="20" fontId="20" numFmtId="0" xfId="0" applyAlignment="1" applyBorder="1" applyFont="1">
      <alignment horizontal="center" readingOrder="0" shrinkToFit="0" vertical="center" wrapText="1"/>
    </xf>
    <xf borderId="0" fillId="15" fontId="22" numFmtId="0" xfId="0" applyAlignment="1" applyFont="1">
      <alignment horizontal="center" shrinkToFit="0" vertical="center" wrapText="1"/>
    </xf>
    <xf borderId="2" fillId="20" fontId="3" numFmtId="166" xfId="0" applyAlignment="1" applyBorder="1" applyFont="1" applyNumberFormat="1">
      <alignment horizontal="center" readingOrder="0"/>
    </xf>
    <xf borderId="2" fillId="16" fontId="2" numFmtId="0" xfId="0" applyAlignment="1" applyBorder="1" applyFont="1">
      <alignment horizontal="center"/>
    </xf>
    <xf borderId="0" fillId="20" fontId="3" numFmtId="166" xfId="0" applyAlignment="1" applyFont="1" applyNumberFormat="1">
      <alignment horizontal="center" readingOrder="0"/>
    </xf>
    <xf borderId="2" fillId="4" fontId="1" numFmtId="0" xfId="0" applyAlignment="1" applyBorder="1" applyFont="1">
      <alignment horizontal="center" readingOrder="0" shrinkToFit="0" vertical="center" wrapText="1"/>
    </xf>
    <xf borderId="2" fillId="15" fontId="3" numFmtId="0" xfId="0" applyAlignment="1" applyBorder="1" applyFont="1">
      <alignment horizontal="center"/>
    </xf>
    <xf borderId="0" fillId="17" fontId="1" numFmtId="3" xfId="0" applyAlignment="1" applyFont="1" applyNumberFormat="1">
      <alignment horizontal="center" readingOrder="0" shrinkToFit="0" vertical="center" wrapText="1"/>
    </xf>
    <xf borderId="0" fillId="14" fontId="3" numFmtId="170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17" fontId="3" numFmtId="17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17" fontId="3" numFmtId="165" xfId="0" applyAlignment="1" applyBorder="1" applyFont="1" applyNumberFormat="1">
      <alignment horizontal="center" readingOrder="0" shrinkToFit="0" vertical="center" wrapText="1"/>
    </xf>
    <xf borderId="2" fillId="17" fontId="16" numFmtId="0" xfId="0" applyAlignment="1" applyBorder="1" applyFont="1">
      <alignment horizontal="center" readingOrder="0" shrinkToFit="0" vertical="center" wrapText="1"/>
    </xf>
    <xf borderId="2" fillId="17" fontId="3" numFmtId="0" xfId="0" applyAlignment="1" applyBorder="1" applyFont="1">
      <alignment horizontal="center" readingOrder="0"/>
    </xf>
    <xf borderId="0" fillId="15" fontId="9" numFmtId="0" xfId="0" applyAlignment="1" applyFont="1">
      <alignment horizontal="center"/>
    </xf>
    <xf borderId="0" fillId="15" fontId="2" numFmtId="166" xfId="0" applyFont="1" applyNumberFormat="1"/>
    <xf borderId="3" fillId="15" fontId="5" numFmtId="166" xfId="0" applyAlignment="1" applyBorder="1" applyFont="1" applyNumberFormat="1">
      <alignment horizontal="center"/>
    </xf>
    <xf borderId="2" fillId="15" fontId="5" numFmtId="0" xfId="0" applyAlignment="1" applyBorder="1" applyFont="1">
      <alignment horizontal="center" shrinkToFit="0" vertical="center" wrapText="1"/>
    </xf>
    <xf borderId="2" fillId="15" fontId="19" numFmtId="0" xfId="0" applyAlignment="1" applyBorder="1" applyFont="1">
      <alignment horizontal="center" shrinkToFit="0" vertical="center" wrapText="1"/>
    </xf>
    <xf borderId="0" fillId="14" fontId="3" numFmtId="166" xfId="0" applyAlignment="1" applyFont="1" applyNumberFormat="1">
      <alignment horizontal="center" readingOrder="0"/>
    </xf>
    <xf borderId="0" fillId="14" fontId="3" numFmtId="165" xfId="0" applyAlignment="1" applyFont="1" applyNumberFormat="1">
      <alignment horizontal="center" readingOrder="0"/>
    </xf>
    <xf borderId="0" fillId="14" fontId="3" numFmtId="0" xfId="0" applyAlignment="1" applyFont="1">
      <alignment horizontal="center"/>
    </xf>
    <xf borderId="2" fillId="14" fontId="3" numFmtId="0" xfId="0" applyAlignment="1" applyBorder="1" applyFont="1">
      <alignment horizontal="center" readingOrder="0" vertical="center"/>
    </xf>
    <xf borderId="2" fillId="15" fontId="1" numFmtId="0" xfId="0" applyAlignment="1" applyBorder="1" applyFont="1">
      <alignment horizontal="center" readingOrder="0"/>
    </xf>
    <xf borderId="2" fillId="0" fontId="3" numFmtId="170" xfId="0" applyAlignment="1" applyBorder="1" applyFont="1" applyNumberFormat="1">
      <alignment horizontal="center" vertical="center"/>
    </xf>
    <xf borderId="0" fillId="17" fontId="3" numFmtId="0" xfId="0" applyAlignment="1" applyFont="1">
      <alignment horizontal="center" vertical="center"/>
    </xf>
    <xf borderId="2" fillId="14" fontId="3" numFmtId="0" xfId="0" applyAlignment="1" applyBorder="1" applyFont="1">
      <alignment horizontal="center" readingOrder="0"/>
    </xf>
    <xf borderId="2" fillId="15" fontId="1" numFmtId="49" xfId="0" applyAlignment="1" applyBorder="1" applyFont="1" applyNumberFormat="1">
      <alignment horizontal="center" readingOrder="0"/>
    </xf>
    <xf borderId="2" fillId="4" fontId="3" numFmtId="170" xfId="0" applyAlignment="1" applyBorder="1" applyFont="1" applyNumberFormat="1">
      <alignment horizontal="center"/>
    </xf>
    <xf borderId="0" fillId="17" fontId="3" numFmtId="0" xfId="0" applyAlignment="1" applyFont="1">
      <alignment horizontal="center"/>
    </xf>
    <xf borderId="2" fillId="14" fontId="3" numFmtId="0" xfId="0" applyAlignment="1" applyBorder="1" applyFont="1">
      <alignment horizontal="center"/>
    </xf>
    <xf borderId="2" fillId="17" fontId="3" numFmtId="170" xfId="0" applyAlignment="1" applyBorder="1" applyFont="1" applyNumberFormat="1">
      <alignment horizontal="center"/>
    </xf>
    <xf borderId="2" fillId="17" fontId="3" numFmtId="0" xfId="0" applyAlignment="1" applyBorder="1" applyFont="1">
      <alignment horizontal="center"/>
    </xf>
    <xf borderId="18" fillId="7" fontId="11" numFmtId="0" xfId="0" applyAlignment="1" applyBorder="1" applyFont="1">
      <alignment horizontal="center" shrinkToFit="0" vertical="center" wrapText="1"/>
    </xf>
    <xf borderId="2" fillId="21" fontId="3" numFmtId="170" xfId="0" applyAlignment="1" applyBorder="1" applyFill="1" applyFont="1" applyNumberFormat="1">
      <alignment horizontal="center"/>
    </xf>
    <xf borderId="0" fillId="17" fontId="3" numFmtId="170" xfId="0" applyAlignment="1" applyFont="1" applyNumberFormat="1">
      <alignment horizontal="center" vertical="center"/>
    </xf>
    <xf borderId="0" fillId="0" fontId="3" numFmtId="176" xfId="0" applyAlignment="1" applyFont="1" applyNumberFormat="1">
      <alignment horizontal="center"/>
    </xf>
    <xf borderId="19" fillId="0" fontId="4" numFmtId="0" xfId="0" applyBorder="1" applyFont="1"/>
    <xf borderId="0" fillId="4" fontId="3" numFmtId="170" xfId="0" applyAlignment="1" applyFont="1" applyNumberFormat="1">
      <alignment horizontal="center"/>
    </xf>
    <xf borderId="2" fillId="17" fontId="3" numFmtId="166" xfId="0" applyAlignment="1" applyBorder="1" applyFont="1" applyNumberFormat="1">
      <alignment horizontal="center"/>
    </xf>
    <xf borderId="2" fillId="17" fontId="2" numFmtId="0" xfId="0" applyBorder="1" applyFont="1"/>
    <xf borderId="0" fillId="14" fontId="6" numFmtId="0" xfId="0" applyFont="1"/>
    <xf borderId="0" fillId="14" fontId="2" numFmtId="0" xfId="0" applyFont="1"/>
    <xf borderId="0" fillId="14" fontId="3" numFmtId="172" xfId="0" applyAlignment="1" applyFont="1" applyNumberFormat="1">
      <alignment horizontal="center" readingOrder="0" shrinkToFit="0" vertical="center" wrapText="1"/>
    </xf>
    <xf borderId="0" fillId="17" fontId="3" numFmtId="166" xfId="0" applyAlignment="1" applyFont="1" applyNumberFormat="1">
      <alignment horizontal="center" readingOrder="0"/>
    </xf>
    <xf borderId="0" fillId="17" fontId="3" numFmtId="177" xfId="0" applyAlignment="1" applyFont="1" applyNumberFormat="1">
      <alignment horizontal="center" readingOrder="0"/>
    </xf>
    <xf borderId="0" fillId="17" fontId="2" numFmtId="0" xfId="0" applyFont="1"/>
    <xf borderId="2" fillId="14" fontId="3" numFmtId="166" xfId="0" applyAlignment="1" applyBorder="1" applyFont="1" applyNumberFormat="1">
      <alignment horizontal="center"/>
    </xf>
    <xf borderId="2" fillId="14" fontId="2" numFmtId="0" xfId="0" applyBorder="1" applyFont="1"/>
    <xf borderId="0" fillId="15" fontId="2" numFmtId="166" xfId="0" applyAlignment="1" applyFont="1" applyNumberFormat="1">
      <alignment readingOrder="0"/>
    </xf>
    <xf borderId="0" fillId="15" fontId="2" numFmtId="0" xfId="0" applyAlignment="1" applyFont="1">
      <alignment horizontal="center"/>
    </xf>
    <xf borderId="2" fillId="15" fontId="2" numFmtId="166" xfId="0" applyBorder="1" applyFont="1" applyNumberFormat="1"/>
    <xf borderId="2" fillId="15" fontId="2" numFmtId="0" xfId="0" applyAlignment="1" applyBorder="1" applyFont="1">
      <alignment horizontal="center"/>
    </xf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2" fillId="7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3" fillId="4" fontId="5" numFmtId="166" xfId="0" applyAlignment="1" applyBorder="1" applyFont="1" applyNumberFormat="1">
      <alignment horizontal="center"/>
    </xf>
    <xf borderId="2" fillId="7" fontId="7" numFmtId="0" xfId="0" applyAlignment="1" applyBorder="1" applyFont="1">
      <alignment horizontal="center" vertical="center"/>
    </xf>
    <xf borderId="2" fillId="22" fontId="5" numFmtId="0" xfId="0" applyAlignment="1" applyBorder="1" applyFill="1" applyFont="1">
      <alignment horizontal="center" vertical="center"/>
    </xf>
    <xf borderId="20" fillId="3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 shrinkToFit="0" vertical="center" wrapText="1"/>
    </xf>
    <xf borderId="2" fillId="4" fontId="3" numFmtId="0" xfId="0" applyBorder="1" applyFont="1"/>
    <xf borderId="0" fillId="0" fontId="3" numFmtId="0" xfId="0" applyFont="1"/>
    <xf borderId="0" fillId="0" fontId="3" numFmtId="168" xfId="0" applyAlignment="1" applyFont="1" applyNumberFormat="1">
      <alignment horizontal="center" shrinkToFit="0" vertical="center" wrapText="1"/>
    </xf>
    <xf borderId="2" fillId="7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ESTOQUE!A1" TargetMode="External"/><Relationship Id="rId2" Type="http://schemas.openxmlformats.org/officeDocument/2006/relationships/hyperlink" Target="#ENTRADA!A1" TargetMode="External"/><Relationship Id="rId3" Type="http://schemas.openxmlformats.org/officeDocument/2006/relationships/hyperlink" Target="#SA&#205;DA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ENTRADA!A1" TargetMode="External"/><Relationship Id="rId3" Type="http://schemas.openxmlformats.org/officeDocument/2006/relationships/hyperlink" Target="#SA&#205;DA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ENTRADA!A1" TargetMode="External"/><Relationship Id="rId3" Type="http://schemas.openxmlformats.org/officeDocument/2006/relationships/hyperlink" Target="#ESTOQUE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ESTOQUE!A1" TargetMode="External"/><Relationship Id="rId3" Type="http://schemas.openxmlformats.org/officeDocument/2006/relationships/hyperlink" Target="#SA&#205;DA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6</xdr:row>
      <xdr:rowOff>152400</xdr:rowOff>
    </xdr:from>
    <xdr:ext cx="1409700" cy="457200"/>
    <xdr:sp>
      <xdr:nvSpPr>
        <xdr:cNvPr id="3" name="Shape 3">
          <a:hlinkClick r:id="rId1"/>
        </xdr:cNvPr>
        <xdr:cNvSpPr/>
      </xdr:nvSpPr>
      <xdr:spPr>
        <a:xfrm>
          <a:off x="4645913" y="3556163"/>
          <a:ext cx="1400175" cy="44767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Calibri"/>
            <a:buNone/>
          </a:pPr>
          <a:r>
            <a:rPr b="1" i="0" lang="en-US" sz="16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ESTOQUE</a:t>
          </a:r>
          <a:endParaRPr sz="1400"/>
        </a:p>
      </xdr:txBody>
    </xdr:sp>
    <xdr:clientData fLocksWithSheet="0"/>
  </xdr:oneCellAnchor>
  <xdr:oneCellAnchor>
    <xdr:from>
      <xdr:col>5</xdr:col>
      <xdr:colOff>142875</xdr:colOff>
      <xdr:row>6</xdr:row>
      <xdr:rowOff>152400</xdr:rowOff>
    </xdr:from>
    <xdr:ext cx="1409700" cy="457200"/>
    <xdr:sp>
      <xdr:nvSpPr>
        <xdr:cNvPr id="4" name="Shape 4">
          <a:hlinkClick r:id="rId2"/>
        </xdr:cNvPr>
        <xdr:cNvSpPr/>
      </xdr:nvSpPr>
      <xdr:spPr>
        <a:xfrm>
          <a:off x="4645913" y="3556163"/>
          <a:ext cx="1400175" cy="44767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Calibri"/>
            <a:buNone/>
          </a:pPr>
          <a:r>
            <a:rPr b="1" i="0" lang="en-US" sz="16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ENTRADA</a:t>
          </a:r>
          <a:endParaRPr sz="1400"/>
        </a:p>
      </xdr:txBody>
    </xdr:sp>
    <xdr:clientData fLocksWithSheet="0"/>
  </xdr:oneCellAnchor>
  <xdr:oneCellAnchor>
    <xdr:from>
      <xdr:col>8</xdr:col>
      <xdr:colOff>57150</xdr:colOff>
      <xdr:row>6</xdr:row>
      <xdr:rowOff>152400</xdr:rowOff>
    </xdr:from>
    <xdr:ext cx="1409700" cy="457200"/>
    <xdr:sp>
      <xdr:nvSpPr>
        <xdr:cNvPr id="5" name="Shape 5">
          <a:hlinkClick r:id="rId3"/>
        </xdr:cNvPr>
        <xdr:cNvSpPr/>
      </xdr:nvSpPr>
      <xdr:spPr>
        <a:xfrm>
          <a:off x="4645913" y="3556163"/>
          <a:ext cx="1400175" cy="44767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Calibri"/>
            <a:buNone/>
          </a:pPr>
          <a:r>
            <a:rPr b="1" i="0" lang="en-US" sz="16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SAÍDA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0</xdr:rowOff>
    </xdr:from>
    <xdr:ext cx="1009650" cy="257175"/>
    <xdr:sp>
      <xdr:nvSpPr>
        <xdr:cNvPr id="6" name="Shape 6">
          <a:hlinkClick r:id="rId1"/>
        </xdr:cNvPr>
        <xdr:cNvSpPr/>
      </xdr:nvSpPr>
      <xdr:spPr>
        <a:xfrm>
          <a:off x="4845938" y="3656175"/>
          <a:ext cx="1000125" cy="247650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Calibri"/>
            <a:buNone/>
          </a:pPr>
          <a:r>
            <a:rPr b="1" i="0" lang="en-US" sz="16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4</xdr:col>
      <xdr:colOff>19050</xdr:colOff>
      <xdr:row>1</xdr:row>
      <xdr:rowOff>66675</xdr:rowOff>
    </xdr:from>
    <xdr:ext cx="1009650" cy="314325"/>
    <xdr:sp>
      <xdr:nvSpPr>
        <xdr:cNvPr id="7" name="Shape 7">
          <a:hlinkClick r:id="rId2"/>
        </xdr:cNvPr>
        <xdr:cNvSpPr/>
      </xdr:nvSpPr>
      <xdr:spPr>
        <a:xfrm>
          <a:off x="4845938" y="3627600"/>
          <a:ext cx="1000125" cy="304800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b="1" i="0" lang="en-US" sz="14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ENTRADA</a:t>
          </a:r>
          <a:endParaRPr sz="1400"/>
        </a:p>
      </xdr:txBody>
    </xdr:sp>
    <xdr:clientData fLocksWithSheet="0"/>
  </xdr:oneCellAnchor>
  <xdr:oneCellAnchor>
    <xdr:from>
      <xdr:col>4</xdr:col>
      <xdr:colOff>19050</xdr:colOff>
      <xdr:row>3</xdr:row>
      <xdr:rowOff>0</xdr:rowOff>
    </xdr:from>
    <xdr:ext cx="1009650" cy="266700"/>
    <xdr:sp>
      <xdr:nvSpPr>
        <xdr:cNvPr id="8" name="Shape 8">
          <a:hlinkClick r:id="rId3"/>
        </xdr:cNvPr>
        <xdr:cNvSpPr/>
      </xdr:nvSpPr>
      <xdr:spPr>
        <a:xfrm>
          <a:off x="4845938" y="3651413"/>
          <a:ext cx="1000125" cy="25717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b="1" i="0" lang="en-US" sz="14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SAÍDA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76200</xdr:colOff>
      <xdr:row>0</xdr:row>
      <xdr:rowOff>38100</xdr:rowOff>
    </xdr:from>
    <xdr:ext cx="962025" cy="247650"/>
    <xdr:sp>
      <xdr:nvSpPr>
        <xdr:cNvPr id="9" name="Shape 9">
          <a:hlinkClick r:id="rId1"/>
        </xdr:cNvPr>
        <xdr:cNvSpPr/>
      </xdr:nvSpPr>
      <xdr:spPr>
        <a:xfrm>
          <a:off x="4869750" y="3660938"/>
          <a:ext cx="952500" cy="23812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Calibri"/>
            <a:buNone/>
          </a:pPr>
          <a:r>
            <a:rPr b="1" i="0" lang="en-US" sz="16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1</xdr:row>
      <xdr:rowOff>123825</xdr:rowOff>
    </xdr:from>
    <xdr:ext cx="952500" cy="304800"/>
    <xdr:sp>
      <xdr:nvSpPr>
        <xdr:cNvPr id="10" name="Shape 10">
          <a:hlinkClick r:id="rId2"/>
        </xdr:cNvPr>
        <xdr:cNvSpPr/>
      </xdr:nvSpPr>
      <xdr:spPr>
        <a:xfrm>
          <a:off x="4874513" y="3632363"/>
          <a:ext cx="942975" cy="29527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b="1" i="0" lang="en-US" sz="14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ENTRADA</a:t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3</xdr:row>
      <xdr:rowOff>57150</xdr:rowOff>
    </xdr:from>
    <xdr:ext cx="952500" cy="266700"/>
    <xdr:sp>
      <xdr:nvSpPr>
        <xdr:cNvPr id="11" name="Shape 11">
          <a:hlinkClick r:id="rId3"/>
        </xdr:cNvPr>
        <xdr:cNvSpPr/>
      </xdr:nvSpPr>
      <xdr:spPr>
        <a:xfrm>
          <a:off x="4874513" y="3651413"/>
          <a:ext cx="942975" cy="25717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b="1" i="0" lang="en-US" sz="14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ESTOQUE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76200</xdr:colOff>
      <xdr:row>0</xdr:row>
      <xdr:rowOff>28575</xdr:rowOff>
    </xdr:from>
    <xdr:ext cx="962025" cy="247650"/>
    <xdr:sp>
      <xdr:nvSpPr>
        <xdr:cNvPr id="12" name="Shape 12">
          <a:hlinkClick r:id="rId1"/>
        </xdr:cNvPr>
        <xdr:cNvSpPr/>
      </xdr:nvSpPr>
      <xdr:spPr>
        <a:xfrm>
          <a:off x="4869750" y="3660938"/>
          <a:ext cx="952500" cy="23812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Calibri"/>
            <a:buNone/>
          </a:pPr>
          <a:r>
            <a:rPr b="1" i="0" lang="en-US" sz="16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1</xdr:row>
      <xdr:rowOff>114300</xdr:rowOff>
    </xdr:from>
    <xdr:ext cx="952500" cy="304800"/>
    <xdr:sp>
      <xdr:nvSpPr>
        <xdr:cNvPr id="13" name="Shape 13">
          <a:hlinkClick r:id="rId2"/>
        </xdr:cNvPr>
        <xdr:cNvSpPr/>
      </xdr:nvSpPr>
      <xdr:spPr>
        <a:xfrm>
          <a:off x="4874513" y="3632363"/>
          <a:ext cx="942975" cy="29527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b="1" i="0" lang="en-US" sz="14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ESTOQUE</a:t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3</xdr:row>
      <xdr:rowOff>47625</xdr:rowOff>
    </xdr:from>
    <xdr:ext cx="952500" cy="266700"/>
    <xdr:sp>
      <xdr:nvSpPr>
        <xdr:cNvPr id="14" name="Shape 14">
          <a:hlinkClick r:id="rId3"/>
        </xdr:cNvPr>
        <xdr:cNvSpPr/>
      </xdr:nvSpPr>
      <xdr:spPr>
        <a:xfrm>
          <a:off x="4874513" y="3651413"/>
          <a:ext cx="942975" cy="257175"/>
        </a:xfrm>
        <a:prstGeom prst="roundRect">
          <a:avLst>
            <a:gd fmla="val 16667" name="adj"/>
          </a:avLst>
        </a:prstGeom>
        <a:solidFill>
          <a:srgbClr val="305496"/>
        </a:solidFill>
        <a:ln cap="flat" cmpd="sng" w="12700">
          <a:solidFill>
            <a:srgbClr val="32559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b="1" i="0" lang="en-US" sz="14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SAÍDA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UTRIÇÃO NIS" id="{c6e45c91-8630-4a28-9ca0-bd7e378f32e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06T17:46:18.00" personId="{c6e45c91-8630-4a28-9ca0-bd7e378f32e7}" id="{63ee191f-39b1-42c4-84aa-746d5fb3a93b}" done="0">
    <x18tc:text xml:space="preserve">10/25
01/26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>
      <c r="A1" s="2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5.0" customHeight="1">
      <c r="A4" s="6"/>
      <c r="B4" s="27"/>
      <c r="C4" s="27"/>
      <c r="D4" s="27"/>
      <c r="E4" s="31" t="s">
        <v>16</v>
      </c>
      <c r="F4" s="33"/>
      <c r="G4" s="33"/>
      <c r="H4" s="33"/>
      <c r="I4" s="34"/>
      <c r="J4" s="27"/>
      <c r="K4" s="27"/>
      <c r="L4" s="27"/>
      <c r="M4" s="6"/>
    </row>
    <row r="5" ht="15.0" customHeight="1">
      <c r="A5" s="6"/>
      <c r="B5" s="38"/>
      <c r="C5" s="38"/>
      <c r="D5" s="38"/>
      <c r="E5" s="42"/>
      <c r="F5" s="44"/>
      <c r="G5" s="44"/>
      <c r="H5" s="44"/>
      <c r="I5" s="45"/>
      <c r="J5" s="38"/>
      <c r="K5" s="38"/>
      <c r="L5" s="38"/>
      <c r="M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>
      <c r="A7" s="6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>
      <c r="A10" s="6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15.0" customHeight="1">
      <c r="A12" s="6"/>
      <c r="B12" s="73"/>
      <c r="C12" s="5"/>
      <c r="D12" s="5"/>
      <c r="E12" s="5"/>
      <c r="F12" s="5"/>
      <c r="G12" s="5"/>
      <c r="H12" s="5"/>
      <c r="I12" s="5"/>
      <c r="J12" s="5"/>
      <c r="K12" s="5"/>
      <c r="L12" s="9"/>
      <c r="M12" s="6"/>
    </row>
    <row r="13" ht="15.0" customHeight="1">
      <c r="A13" s="6"/>
      <c r="B13" s="75"/>
      <c r="C13" s="75"/>
      <c r="D13" s="75"/>
      <c r="E13" s="75"/>
      <c r="F13" s="77"/>
      <c r="G13" s="77"/>
      <c r="H13" s="77"/>
      <c r="I13" s="75"/>
      <c r="J13" s="75"/>
      <c r="K13" s="75"/>
      <c r="L13" s="75"/>
      <c r="M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92">
        <v>2025.0</v>
      </c>
      <c r="L19" s="34"/>
      <c r="M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42"/>
      <c r="L20" s="45"/>
      <c r="M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4:I5"/>
    <mergeCell ref="B12:L12"/>
    <mergeCell ref="K19:L20"/>
  </mergeCells>
  <printOptions/>
  <pageMargins bottom="0.7875" footer="0.0" header="0.0" left="0.511806" right="0.511806" top="0.7875"/>
  <pageSetup paperSize="9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76.29"/>
    <col customWidth="1" min="2" max="2" width="10.14"/>
    <col customWidth="1" min="3" max="3" width="12.57"/>
    <col customWidth="1" min="4" max="4" width="12.14"/>
    <col customWidth="1" min="5" max="5" width="24.0"/>
    <col customWidth="1" min="6" max="6" width="11.14"/>
    <col customWidth="1" min="7" max="7" width="12.43"/>
    <col customWidth="1" min="8" max="10" width="10.71"/>
    <col customWidth="1" min="11" max="11" width="8.71"/>
    <col customWidth="1" min="12" max="12" width="10.71"/>
    <col customWidth="1" min="13" max="13" width="8.71"/>
    <col customWidth="1" min="14" max="14" width="10.71"/>
    <col customWidth="1" min="15" max="19" width="8.71"/>
    <col customWidth="1" min="20" max="20" width="10.71"/>
    <col customWidth="1" min="21" max="25" width="8.71"/>
  </cols>
  <sheetData>
    <row r="1">
      <c r="A1" s="3" t="s">
        <v>1</v>
      </c>
      <c r="B1" s="5"/>
      <c r="C1" s="9"/>
      <c r="D1" s="11" t="s">
        <v>3</v>
      </c>
    </row>
    <row r="3">
      <c r="A3" s="14"/>
      <c r="C3" s="16">
        <v>2025.0</v>
      </c>
    </row>
    <row r="4">
      <c r="A4" s="17"/>
      <c r="B4" s="19"/>
      <c r="C4" s="21"/>
      <c r="D4" s="19"/>
    </row>
    <row r="5">
      <c r="A5" s="24" t="s">
        <v>11</v>
      </c>
    </row>
    <row r="6">
      <c r="A6" s="26"/>
      <c r="B6" s="26"/>
      <c r="C6" s="28"/>
      <c r="D6" s="28"/>
      <c r="H6" s="11" t="s">
        <v>15</v>
      </c>
    </row>
    <row r="7">
      <c r="A7" s="30" t="s">
        <v>17</v>
      </c>
      <c r="B7" s="32" t="s">
        <v>19</v>
      </c>
      <c r="C7" s="32" t="s">
        <v>21</v>
      </c>
      <c r="D7" s="30" t="s">
        <v>22</v>
      </c>
      <c r="E7" s="35"/>
    </row>
    <row r="8" hidden="1">
      <c r="A8" s="36" t="s">
        <v>24</v>
      </c>
      <c r="B8" s="39"/>
      <c r="C8" s="40"/>
      <c r="D8" s="36"/>
      <c r="E8" s="43"/>
      <c r="F8" s="35"/>
      <c r="G8" s="46"/>
      <c r="H8" s="47"/>
      <c r="L8" s="48"/>
      <c r="M8" s="49"/>
      <c r="O8" s="48"/>
      <c r="P8" s="49"/>
    </row>
    <row r="9">
      <c r="A9" s="51" t="s">
        <v>24</v>
      </c>
      <c r="B9" s="53">
        <v>112.0</v>
      </c>
      <c r="C9" s="55">
        <v>46508.0</v>
      </c>
      <c r="D9" s="56" t="s">
        <v>32</v>
      </c>
      <c r="E9" s="57" t="s">
        <v>33</v>
      </c>
      <c r="F9" s="35"/>
      <c r="G9" s="46"/>
      <c r="H9" s="47"/>
      <c r="L9" s="48"/>
      <c r="M9" s="49"/>
      <c r="O9" s="48"/>
      <c r="P9" s="49"/>
    </row>
    <row r="10">
      <c r="A10" s="51" t="s">
        <v>37</v>
      </c>
      <c r="B10" s="53">
        <v>3.0</v>
      </c>
      <c r="C10" s="55">
        <v>46692.0</v>
      </c>
      <c r="D10" s="56"/>
      <c r="E10" s="57"/>
      <c r="F10" s="35"/>
      <c r="G10" s="46"/>
      <c r="H10" s="47"/>
      <c r="I10" s="60"/>
      <c r="J10" s="60"/>
      <c r="K10" s="60"/>
      <c r="L10" s="48"/>
      <c r="M10" s="49"/>
      <c r="N10" s="60"/>
      <c r="O10" s="48"/>
      <c r="P10" s="49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1" t="s">
        <v>44</v>
      </c>
      <c r="B11" s="62">
        <v>0.0</v>
      </c>
      <c r="C11" s="63"/>
      <c r="D11" s="61"/>
      <c r="E11" s="65"/>
      <c r="F11" s="66"/>
      <c r="G11" s="48"/>
      <c r="H11" s="49"/>
    </row>
    <row r="12">
      <c r="A12" s="51" t="s">
        <v>49</v>
      </c>
      <c r="B12" s="53">
        <v>793.0</v>
      </c>
      <c r="C12" s="56">
        <v>2027.0</v>
      </c>
      <c r="D12" s="56" t="s">
        <v>52</v>
      </c>
      <c r="E12" s="69">
        <v>300.0</v>
      </c>
      <c r="F12" s="70" t="s">
        <v>53</v>
      </c>
      <c r="G12" s="48"/>
      <c r="H12" s="49"/>
    </row>
    <row r="13">
      <c r="A13" s="71" t="s">
        <v>55</v>
      </c>
      <c r="B13" s="72">
        <v>210.0</v>
      </c>
      <c r="C13" s="56">
        <v>2028.0</v>
      </c>
      <c r="D13" s="74" t="s">
        <v>57</v>
      </c>
      <c r="E13" s="69">
        <v>70.0</v>
      </c>
      <c r="F13" s="66"/>
      <c r="G13" s="48"/>
      <c r="H13" s="49"/>
    </row>
    <row r="14">
      <c r="A14" s="74" t="s">
        <v>60</v>
      </c>
      <c r="B14" s="76">
        <v>30.0</v>
      </c>
      <c r="C14" s="56">
        <v>2028.0</v>
      </c>
      <c r="D14" s="74"/>
      <c r="E14" s="69"/>
      <c r="F14" s="66"/>
      <c r="G14" s="48"/>
      <c r="H14" s="49"/>
      <c r="L14" s="48"/>
      <c r="M14" s="49"/>
      <c r="O14" s="48"/>
      <c r="P14" s="49"/>
    </row>
    <row r="15">
      <c r="A15" s="51" t="s">
        <v>63</v>
      </c>
      <c r="B15" s="78">
        <v>27.0</v>
      </c>
      <c r="C15" s="56">
        <v>2027.0</v>
      </c>
      <c r="D15" s="56" t="s">
        <v>65</v>
      </c>
      <c r="E15" s="69">
        <v>15.0</v>
      </c>
      <c r="F15" s="66"/>
      <c r="G15" s="48"/>
      <c r="H15" s="49"/>
      <c r="L15" s="48"/>
      <c r="M15" s="49"/>
      <c r="O15" s="48"/>
      <c r="P15" s="49"/>
    </row>
    <row r="16">
      <c r="A16" s="61" t="s">
        <v>67</v>
      </c>
      <c r="B16" s="62">
        <v>0.0</v>
      </c>
      <c r="C16" s="80"/>
      <c r="D16" s="61"/>
      <c r="E16" s="69"/>
      <c r="F16" s="66"/>
      <c r="G16" s="48"/>
      <c r="H16" s="49"/>
    </row>
    <row r="17">
      <c r="A17" s="74" t="s">
        <v>71</v>
      </c>
      <c r="B17" s="72">
        <v>445.0</v>
      </c>
      <c r="C17" s="83">
        <v>46517.0</v>
      </c>
      <c r="D17" s="74"/>
      <c r="E17" s="69">
        <v>350.0</v>
      </c>
      <c r="F17" s="84"/>
      <c r="G17" s="48"/>
      <c r="H17" s="49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56" t="s">
        <v>75</v>
      </c>
      <c r="B18" s="72">
        <v>295.0</v>
      </c>
      <c r="C18" s="85">
        <v>46337.0</v>
      </c>
      <c r="D18" s="74"/>
      <c r="E18" s="69">
        <v>350.0</v>
      </c>
      <c r="F18" s="84"/>
      <c r="G18" s="48"/>
      <c r="H18" s="49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 hidden="1">
      <c r="A19" s="86" t="s">
        <v>75</v>
      </c>
      <c r="B19" s="87"/>
      <c r="C19" s="88"/>
      <c r="D19" s="86"/>
      <c r="E19" s="89"/>
      <c r="H19" s="47"/>
      <c r="I19" s="48"/>
      <c r="J19" s="47"/>
      <c r="K19" s="48"/>
      <c r="T19" s="90"/>
    </row>
    <row r="20">
      <c r="A20" s="71" t="s">
        <v>80</v>
      </c>
      <c r="B20" s="72">
        <v>54.0</v>
      </c>
      <c r="C20" s="91">
        <v>46351.0</v>
      </c>
      <c r="D20" s="74"/>
      <c r="E20" s="69">
        <v>20.0</v>
      </c>
      <c r="F20" s="35"/>
      <c r="G20" s="93"/>
      <c r="H20" s="79"/>
      <c r="I20" s="94"/>
      <c r="J20" s="95"/>
    </row>
    <row r="21" hidden="1">
      <c r="A21" s="86" t="s">
        <v>80</v>
      </c>
      <c r="B21" s="96"/>
      <c r="C21" s="97"/>
      <c r="D21" s="86"/>
      <c r="E21" s="98"/>
      <c r="F21" s="35"/>
      <c r="G21" s="93"/>
      <c r="H21" s="79"/>
      <c r="I21" s="94"/>
      <c r="J21" s="95"/>
    </row>
    <row r="22">
      <c r="A22" s="56" t="s">
        <v>89</v>
      </c>
      <c r="B22" s="53">
        <v>37.0</v>
      </c>
      <c r="C22" s="74">
        <v>2028.0</v>
      </c>
      <c r="D22" s="56">
        <v>88.0</v>
      </c>
      <c r="E22" s="69">
        <v>15.0</v>
      </c>
      <c r="F22" s="66"/>
      <c r="G22" s="48"/>
      <c r="H22" s="99"/>
      <c r="J22" s="100"/>
      <c r="L22" s="48"/>
      <c r="M22" s="49"/>
      <c r="O22" s="48"/>
      <c r="P22" s="49"/>
    </row>
    <row r="23">
      <c r="A23" s="74" t="s">
        <v>91</v>
      </c>
      <c r="B23" s="72">
        <v>34.0</v>
      </c>
      <c r="C23" s="101">
        <v>46296.0</v>
      </c>
      <c r="D23" s="74" t="s">
        <v>92</v>
      </c>
      <c r="E23" s="69">
        <v>20.0</v>
      </c>
      <c r="F23" s="102"/>
      <c r="G23" s="103"/>
      <c r="H23" s="104"/>
    </row>
    <row r="24">
      <c r="A24" s="51" t="s">
        <v>93</v>
      </c>
      <c r="B24" s="53">
        <v>17.0</v>
      </c>
      <c r="C24" s="74">
        <v>2027.0</v>
      </c>
      <c r="D24" s="56"/>
      <c r="E24" s="69">
        <v>15.0</v>
      </c>
      <c r="F24" s="102"/>
      <c r="G24" s="48"/>
      <c r="H24" s="49"/>
    </row>
    <row r="25">
      <c r="A25" s="105" t="s">
        <v>94</v>
      </c>
      <c r="B25" s="62">
        <v>0.0</v>
      </c>
      <c r="C25" s="106"/>
      <c r="D25" s="105"/>
      <c r="E25" s="69"/>
      <c r="F25" s="48"/>
      <c r="G25" s="49"/>
      <c r="H25" s="66"/>
      <c r="I25" s="48"/>
      <c r="J25" s="49"/>
      <c r="K25" s="66"/>
    </row>
    <row r="26">
      <c r="A26" s="105" t="s">
        <v>96</v>
      </c>
      <c r="B26" s="62">
        <v>0.0</v>
      </c>
      <c r="C26" s="105"/>
      <c r="D26" s="105"/>
      <c r="E26" s="69">
        <v>20.0</v>
      </c>
      <c r="F26" s="48"/>
      <c r="G26" s="49"/>
      <c r="H26" s="66"/>
      <c r="I26" s="48"/>
      <c r="J26" s="49"/>
      <c r="K26" s="66"/>
    </row>
    <row r="27">
      <c r="A27" s="71" t="s">
        <v>99</v>
      </c>
      <c r="B27" s="72">
        <v>0.0</v>
      </c>
      <c r="C27" s="74">
        <v>2027.0</v>
      </c>
      <c r="D27" s="74"/>
      <c r="E27" s="69"/>
      <c r="F27" s="48"/>
      <c r="G27" s="49"/>
      <c r="H27" s="66"/>
      <c r="I27" s="48"/>
      <c r="J27" s="49"/>
      <c r="K27" s="66"/>
    </row>
    <row r="28">
      <c r="A28" s="74" t="s">
        <v>101</v>
      </c>
      <c r="B28" s="72">
        <v>10.0</v>
      </c>
      <c r="C28" s="107">
        <v>46266.0</v>
      </c>
      <c r="D28" s="74" t="s">
        <v>102</v>
      </c>
      <c r="E28" s="69"/>
      <c r="F28" s="48"/>
      <c r="G28" s="49"/>
      <c r="H28" s="66"/>
      <c r="I28" s="48"/>
      <c r="J28" s="49"/>
      <c r="K28" s="66"/>
    </row>
    <row r="29" ht="26.25" customHeight="1">
      <c r="A29" s="74" t="s">
        <v>104</v>
      </c>
      <c r="B29" s="72">
        <v>170.0</v>
      </c>
      <c r="C29" s="101">
        <v>46419.0</v>
      </c>
      <c r="D29" s="74"/>
      <c r="E29" s="69"/>
      <c r="F29" s="48"/>
      <c r="G29" s="49"/>
      <c r="H29" s="66"/>
      <c r="I29" s="48"/>
      <c r="J29" s="49"/>
      <c r="K29" s="66"/>
      <c r="L29" s="48"/>
      <c r="M29" s="49"/>
      <c r="O29" s="48"/>
      <c r="P29" s="49"/>
    </row>
    <row r="30" ht="26.25" customHeight="1">
      <c r="A30" s="74" t="s">
        <v>105</v>
      </c>
      <c r="B30" s="72">
        <v>17.0</v>
      </c>
      <c r="C30" s="74">
        <v>2027.0</v>
      </c>
      <c r="D30" s="74"/>
      <c r="E30" s="69"/>
      <c r="F30" s="48"/>
      <c r="G30" s="49"/>
      <c r="H30" s="66"/>
      <c r="I30" s="48"/>
      <c r="J30" s="49"/>
      <c r="K30" s="66"/>
      <c r="L30" s="48"/>
      <c r="M30" s="49"/>
      <c r="O30" s="48"/>
      <c r="P30" s="49"/>
    </row>
    <row r="31" ht="26.25" customHeight="1">
      <c r="A31" s="56" t="s">
        <v>107</v>
      </c>
      <c r="B31" s="72">
        <v>2.0</v>
      </c>
      <c r="C31" s="101">
        <v>46296.0</v>
      </c>
      <c r="D31" s="56" t="s">
        <v>108</v>
      </c>
      <c r="E31" s="69">
        <v>15.0</v>
      </c>
      <c r="F31" s="48"/>
      <c r="G31" s="49"/>
      <c r="H31" s="66"/>
      <c r="I31" s="48"/>
      <c r="J31" s="49"/>
      <c r="K31" s="66"/>
      <c r="L31" s="48"/>
      <c r="M31" s="49"/>
      <c r="O31" s="48"/>
      <c r="P31" s="49"/>
    </row>
    <row r="32" ht="26.25" customHeight="1">
      <c r="A32" s="108" t="s">
        <v>109</v>
      </c>
      <c r="B32" s="62">
        <v>0.0</v>
      </c>
      <c r="C32" s="106"/>
      <c r="D32" s="108"/>
      <c r="E32" s="69"/>
      <c r="F32" s="48"/>
      <c r="G32" s="49"/>
      <c r="H32" s="66"/>
      <c r="I32" s="48"/>
      <c r="J32" s="49"/>
      <c r="K32" s="66"/>
      <c r="L32" s="48"/>
      <c r="M32" s="49"/>
      <c r="O32" s="48"/>
      <c r="P32" s="49"/>
    </row>
    <row r="33" ht="15.75" customHeight="1">
      <c r="A33" s="61" t="s">
        <v>110</v>
      </c>
      <c r="B33" s="62">
        <v>0.0</v>
      </c>
      <c r="C33" s="63"/>
      <c r="D33" s="61"/>
      <c r="E33" s="69"/>
      <c r="F33" s="48"/>
      <c r="G33" s="49"/>
      <c r="H33" s="66"/>
      <c r="I33" s="48"/>
      <c r="J33" s="49"/>
      <c r="K33" s="66"/>
    </row>
    <row r="34" ht="15.75" customHeight="1">
      <c r="A34" s="74" t="s">
        <v>111</v>
      </c>
      <c r="B34" s="72">
        <v>53.0</v>
      </c>
      <c r="C34" s="109">
        <v>46235.0</v>
      </c>
      <c r="D34" s="74"/>
      <c r="E34" s="69"/>
      <c r="F34" s="110"/>
      <c r="G34" s="111"/>
      <c r="H34" s="112"/>
      <c r="I34" s="98"/>
      <c r="J34" s="111"/>
      <c r="K34" s="112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ht="15.75" customHeight="1">
      <c r="A35" s="56" t="s">
        <v>114</v>
      </c>
      <c r="B35" s="53">
        <v>258.0</v>
      </c>
      <c r="C35" s="113">
        <v>2027.0</v>
      </c>
      <c r="D35" s="56" t="s">
        <v>116</v>
      </c>
      <c r="E35" s="69">
        <v>100.0</v>
      </c>
      <c r="F35" s="110"/>
      <c r="G35" s="111"/>
      <c r="H35" s="112"/>
      <c r="I35" s="98"/>
      <c r="J35" s="111"/>
      <c r="K35" s="112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ht="35.25" customHeight="1">
      <c r="A36" s="56" t="s">
        <v>117</v>
      </c>
      <c r="B36" s="53">
        <v>120.0</v>
      </c>
      <c r="C36" s="56">
        <v>2027.0</v>
      </c>
      <c r="D36" s="56" t="s">
        <v>118</v>
      </c>
      <c r="E36" s="69">
        <v>100.0</v>
      </c>
      <c r="F36" s="48"/>
      <c r="G36" s="49"/>
      <c r="H36" s="66"/>
      <c r="I36" s="48"/>
      <c r="J36" s="49"/>
      <c r="K36" s="66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 ht="27.0" hidden="1" customHeight="1">
      <c r="A37" s="114" t="s">
        <v>120</v>
      </c>
      <c r="B37" s="115"/>
      <c r="C37" s="116"/>
      <c r="D37" s="114"/>
      <c r="E37" s="69"/>
      <c r="F37" s="48"/>
      <c r="G37" s="49"/>
      <c r="H37" s="66"/>
      <c r="I37" s="48"/>
      <c r="J37" s="49"/>
      <c r="K37" s="66"/>
    </row>
    <row r="38" ht="28.5" customHeight="1">
      <c r="A38" s="74" t="s">
        <v>122</v>
      </c>
      <c r="B38" s="72">
        <v>144.0</v>
      </c>
      <c r="C38" s="107">
        <v>46357.0</v>
      </c>
      <c r="D38" s="74"/>
      <c r="E38" s="69">
        <v>100.0</v>
      </c>
      <c r="F38" s="48"/>
      <c r="G38" s="49"/>
      <c r="H38" s="66"/>
      <c r="I38" s="48"/>
      <c r="J38" s="49"/>
      <c r="K38" s="66"/>
      <c r="L38" s="48"/>
      <c r="M38" s="49"/>
      <c r="O38" s="48"/>
      <c r="P38" s="49"/>
    </row>
    <row r="39" ht="24.75" customHeight="1">
      <c r="A39" s="105" t="s">
        <v>123</v>
      </c>
      <c r="B39" s="117">
        <v>0.0</v>
      </c>
      <c r="C39" s="80"/>
      <c r="D39" s="105"/>
      <c r="E39" s="69">
        <v>100.0</v>
      </c>
      <c r="F39" s="48"/>
      <c r="G39" s="49"/>
      <c r="H39" s="66"/>
      <c r="I39" s="48"/>
      <c r="J39" s="49"/>
      <c r="K39" s="66"/>
    </row>
    <row r="40" ht="24.75" customHeight="1">
      <c r="A40" s="61" t="s">
        <v>125</v>
      </c>
      <c r="B40" s="117">
        <v>0.0</v>
      </c>
      <c r="C40" s="80"/>
      <c r="D40" s="105"/>
      <c r="E40" s="69">
        <v>100.0</v>
      </c>
      <c r="F40" s="48"/>
      <c r="G40" s="49"/>
      <c r="H40" s="66"/>
      <c r="I40" s="48"/>
      <c r="J40" s="49"/>
      <c r="K40" s="66"/>
    </row>
    <row r="41" ht="27.0" customHeight="1">
      <c r="A41" s="108" t="s">
        <v>126</v>
      </c>
      <c r="B41" s="62">
        <v>0.0</v>
      </c>
      <c r="C41" s="118"/>
      <c r="D41" s="105"/>
      <c r="E41" s="69">
        <v>100.0</v>
      </c>
      <c r="F41" s="119"/>
      <c r="G41" s="49"/>
      <c r="H41" s="66"/>
      <c r="I41" s="48"/>
      <c r="J41" s="49"/>
      <c r="K41" s="66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 ht="23.25" customHeight="1">
      <c r="A42" s="51" t="s">
        <v>129</v>
      </c>
      <c r="B42" s="53">
        <v>90.0</v>
      </c>
      <c r="C42" s="120">
        <v>46420.0</v>
      </c>
      <c r="D42" s="56" t="s">
        <v>130</v>
      </c>
      <c r="E42" s="69">
        <v>100.0</v>
      </c>
      <c r="F42" s="48"/>
      <c r="G42" s="49"/>
      <c r="H42" s="66"/>
      <c r="I42" s="48"/>
      <c r="J42" s="49"/>
      <c r="K42" s="66"/>
    </row>
    <row r="43" ht="19.5" customHeight="1">
      <c r="A43" s="51" t="s">
        <v>132</v>
      </c>
      <c r="B43" s="72">
        <v>561.0</v>
      </c>
      <c r="C43" s="121">
        <v>46430.0</v>
      </c>
      <c r="D43" s="74" t="s">
        <v>133</v>
      </c>
      <c r="E43" s="69"/>
      <c r="F43" s="48"/>
      <c r="G43" s="49"/>
      <c r="H43" s="66"/>
      <c r="I43" s="48"/>
      <c r="J43" s="49"/>
      <c r="K43" s="66"/>
      <c r="L43" s="48"/>
      <c r="M43" s="49"/>
      <c r="O43" s="48"/>
      <c r="P43" s="49"/>
      <c r="R43" s="122"/>
      <c r="S43" s="122"/>
      <c r="T43" s="122"/>
      <c r="U43" s="122"/>
      <c r="V43" s="122"/>
      <c r="W43" s="122"/>
      <c r="X43" s="122"/>
      <c r="Y43" s="122"/>
    </row>
    <row r="44" ht="29.25" customHeight="1">
      <c r="A44" s="108" t="s">
        <v>137</v>
      </c>
      <c r="B44" s="62">
        <v>0.0</v>
      </c>
      <c r="C44" s="105"/>
      <c r="D44" s="108"/>
      <c r="E44" s="69">
        <v>150.0</v>
      </c>
      <c r="F44" s="48"/>
      <c r="G44" s="49"/>
      <c r="H44" s="66"/>
      <c r="I44" s="48"/>
      <c r="J44" s="49"/>
      <c r="K44" s="66"/>
      <c r="R44" s="123"/>
      <c r="S44" s="123"/>
      <c r="T44" s="123"/>
      <c r="U44" s="123"/>
      <c r="V44" s="123"/>
      <c r="W44" s="123"/>
      <c r="X44" s="123"/>
      <c r="Y44" s="123"/>
    </row>
    <row r="45" ht="29.25" customHeight="1">
      <c r="A45" s="51" t="s">
        <v>140</v>
      </c>
      <c r="B45" s="53">
        <v>276.0</v>
      </c>
      <c r="C45" s="55">
        <v>46905.0</v>
      </c>
      <c r="D45" s="56" t="s">
        <v>141</v>
      </c>
      <c r="E45" s="69"/>
      <c r="F45" s="48"/>
      <c r="G45" s="49"/>
      <c r="H45" s="66"/>
      <c r="I45" s="48"/>
      <c r="J45" s="49"/>
      <c r="K45" s="66"/>
      <c r="R45" s="123"/>
      <c r="S45" s="123"/>
      <c r="T45" s="123"/>
      <c r="U45" s="123"/>
      <c r="V45" s="123"/>
      <c r="W45" s="123"/>
      <c r="X45" s="123"/>
      <c r="Y45" s="123"/>
    </row>
    <row r="46" ht="15.75" customHeight="1">
      <c r="A46" s="51" t="s">
        <v>144</v>
      </c>
      <c r="B46" s="53">
        <v>33.0</v>
      </c>
      <c r="C46" s="55">
        <v>46327.0</v>
      </c>
      <c r="D46" s="56" t="s">
        <v>65</v>
      </c>
      <c r="E46" s="69"/>
      <c r="F46" s="124"/>
      <c r="G46" s="125"/>
      <c r="H46" s="126"/>
      <c r="I46" s="127"/>
      <c r="J46" s="125"/>
      <c r="K46" s="126"/>
      <c r="L46" s="127"/>
      <c r="M46" s="125"/>
      <c r="N46" s="128"/>
      <c r="O46" s="127"/>
      <c r="P46" s="125"/>
      <c r="Q46" s="128"/>
      <c r="R46" s="129"/>
      <c r="S46" s="129"/>
      <c r="T46" s="129"/>
      <c r="U46" s="129"/>
      <c r="V46" s="129"/>
      <c r="W46" s="129"/>
      <c r="X46" s="129"/>
      <c r="Y46" s="129"/>
    </row>
    <row r="47" ht="15.75" customHeight="1">
      <c r="A47" s="130" t="s">
        <v>148</v>
      </c>
      <c r="B47" s="131">
        <v>56.0</v>
      </c>
      <c r="C47" s="132">
        <v>46235.0</v>
      </c>
      <c r="D47" s="130" t="s">
        <v>150</v>
      </c>
      <c r="E47" s="69"/>
      <c r="F47" s="48"/>
      <c r="G47" s="49"/>
      <c r="H47" s="66"/>
      <c r="I47" s="48"/>
      <c r="J47" s="49"/>
      <c r="K47" s="66"/>
    </row>
    <row r="48" ht="15.75" customHeight="1">
      <c r="A48" s="61" t="s">
        <v>152</v>
      </c>
      <c r="B48" s="62">
        <v>0.0</v>
      </c>
      <c r="C48" s="105"/>
      <c r="D48" s="105"/>
      <c r="E48" s="69"/>
      <c r="F48" s="48"/>
      <c r="G48" s="49"/>
      <c r="H48" s="66"/>
      <c r="I48" s="48"/>
      <c r="J48" s="49"/>
      <c r="K48" s="66"/>
    </row>
    <row r="49" ht="15.75" customHeight="1">
      <c r="A49" s="86" t="s">
        <v>154</v>
      </c>
      <c r="B49" s="131">
        <v>120.0</v>
      </c>
      <c r="C49" s="132">
        <v>46266.0</v>
      </c>
      <c r="D49" s="130" t="s">
        <v>150</v>
      </c>
      <c r="E49" s="69"/>
      <c r="F49" s="48"/>
      <c r="G49" s="49"/>
      <c r="H49" s="66"/>
      <c r="I49" s="48"/>
      <c r="J49" s="49"/>
      <c r="K49" s="66"/>
    </row>
    <row r="50" ht="15.75" customHeight="1">
      <c r="A50" s="61" t="s">
        <v>155</v>
      </c>
      <c r="B50" s="62">
        <v>0.0</v>
      </c>
      <c r="C50" s="134"/>
      <c r="D50" s="105"/>
      <c r="E50" s="69"/>
      <c r="F50" s="48"/>
      <c r="G50" s="49"/>
      <c r="H50" s="66"/>
      <c r="I50" s="48"/>
      <c r="J50" s="49"/>
      <c r="K50" s="66"/>
    </row>
    <row r="51" ht="21.75" customHeight="1">
      <c r="A51" s="108" t="s">
        <v>156</v>
      </c>
      <c r="B51" s="62">
        <v>0.0</v>
      </c>
      <c r="C51" s="106"/>
      <c r="D51" s="105"/>
      <c r="E51" s="69"/>
      <c r="F51" s="48"/>
      <c r="G51" s="49"/>
      <c r="H51" s="66"/>
      <c r="I51" s="48"/>
      <c r="J51" s="49"/>
      <c r="K51" s="66"/>
    </row>
    <row r="52" ht="15.75" customHeight="1">
      <c r="A52" s="61" t="s">
        <v>159</v>
      </c>
      <c r="B52" s="62">
        <v>0.0</v>
      </c>
      <c r="C52" s="63"/>
      <c r="D52" s="61"/>
      <c r="E52" s="69"/>
      <c r="F52" s="48"/>
      <c r="G52" s="49"/>
      <c r="H52" s="66"/>
      <c r="I52" s="48"/>
      <c r="J52" s="49"/>
      <c r="K52" s="66"/>
      <c r="L52" s="48"/>
      <c r="M52" s="49"/>
    </row>
    <row r="53" ht="15.75" customHeight="1">
      <c r="A53" s="51" t="s">
        <v>162</v>
      </c>
      <c r="B53" s="53">
        <v>37.0</v>
      </c>
      <c r="C53" s="56">
        <v>2027.0</v>
      </c>
      <c r="D53" s="56" t="s">
        <v>163</v>
      </c>
      <c r="E53" s="69"/>
      <c r="F53" s="66"/>
      <c r="G53" s="48"/>
      <c r="H53" s="49"/>
    </row>
    <row r="54">
      <c r="A54" s="71" t="s">
        <v>164</v>
      </c>
      <c r="B54" s="72">
        <v>104.0</v>
      </c>
      <c r="C54" s="101">
        <v>46266.0</v>
      </c>
      <c r="D54" s="74" t="s">
        <v>166</v>
      </c>
      <c r="E54" s="69"/>
      <c r="F54" s="102"/>
      <c r="G54" s="48"/>
      <c r="H54" s="49"/>
    </row>
    <row r="55" ht="15.75" customHeight="1">
      <c r="A55" s="74" t="s">
        <v>167</v>
      </c>
      <c r="B55" s="72">
        <v>500.0</v>
      </c>
      <c r="C55" s="107">
        <v>46296.0</v>
      </c>
      <c r="D55" s="74"/>
      <c r="E55" s="69"/>
      <c r="F55" s="102"/>
      <c r="G55" s="48"/>
      <c r="H55" s="49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 ht="15.75" customHeight="1">
      <c r="A56" s="61" t="s">
        <v>168</v>
      </c>
      <c r="B56" s="62">
        <v>0.0</v>
      </c>
      <c r="C56" s="108"/>
      <c r="D56" s="105"/>
      <c r="E56" s="69"/>
      <c r="F56" s="102"/>
      <c r="G56" s="48"/>
      <c r="H56" s="49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 ht="15.75" customHeight="1">
      <c r="A57" s="136" t="s">
        <v>169</v>
      </c>
      <c r="B57" s="72">
        <v>30.0</v>
      </c>
      <c r="C57" s="137">
        <v>46357.0</v>
      </c>
      <c r="D57" s="74"/>
      <c r="E57" s="69"/>
      <c r="F57" s="48"/>
      <c r="G57" s="48"/>
      <c r="H57" s="49"/>
    </row>
    <row r="58" ht="15.75" customHeight="1">
      <c r="A58" s="136" t="s">
        <v>171</v>
      </c>
      <c r="B58" s="53">
        <v>168.0</v>
      </c>
      <c r="C58" s="137">
        <v>46272.0</v>
      </c>
      <c r="D58" s="56"/>
      <c r="E58" s="69"/>
      <c r="F58" s="48"/>
      <c r="G58" s="48"/>
      <c r="H58" s="49"/>
    </row>
    <row r="59">
      <c r="A59" s="61" t="s">
        <v>173</v>
      </c>
      <c r="B59" s="62">
        <v>80.0</v>
      </c>
      <c r="C59" s="108">
        <v>2027.0</v>
      </c>
      <c r="D59" s="105"/>
      <c r="E59" s="69">
        <v>20.0</v>
      </c>
      <c r="F59" s="48"/>
      <c r="G59" s="48"/>
      <c r="H59" s="49"/>
    </row>
    <row r="60" ht="33.0" customHeight="1">
      <c r="A60" s="51" t="s">
        <v>175</v>
      </c>
      <c r="B60" s="72">
        <v>70.0</v>
      </c>
      <c r="C60" s="91">
        <v>46369.0</v>
      </c>
      <c r="D60" s="74"/>
      <c r="E60" s="69"/>
      <c r="F60" s="48"/>
      <c r="G60" s="48"/>
      <c r="H60" s="99"/>
    </row>
    <row r="61" ht="28.5" customHeight="1">
      <c r="A61" s="61" t="s">
        <v>176</v>
      </c>
      <c r="B61" s="62">
        <v>21.0</v>
      </c>
      <c r="C61" s="108">
        <v>2027.0</v>
      </c>
      <c r="D61" s="105"/>
      <c r="E61" s="69" t="s">
        <v>177</v>
      </c>
      <c r="F61" s="48"/>
      <c r="G61" s="48"/>
      <c r="H61" s="99"/>
      <c r="I61" s="48"/>
      <c r="J61" s="49"/>
    </row>
    <row r="62" ht="15.75" customHeight="1">
      <c r="A62" s="51" t="s">
        <v>178</v>
      </c>
      <c r="B62" s="53">
        <v>57.0</v>
      </c>
      <c r="C62" s="137">
        <v>46388.0</v>
      </c>
      <c r="D62" s="56" t="s">
        <v>180</v>
      </c>
      <c r="E62" s="69">
        <v>25.0</v>
      </c>
      <c r="F62" s="138"/>
      <c r="G62" s="48"/>
      <c r="H62" s="49"/>
    </row>
    <row r="63" ht="15.75" customHeight="1">
      <c r="A63" s="105" t="s">
        <v>181</v>
      </c>
      <c r="B63" s="62">
        <v>0.0</v>
      </c>
      <c r="C63" s="139"/>
      <c r="D63" s="105"/>
      <c r="E63" s="69"/>
      <c r="F63" s="138"/>
      <c r="G63" s="48"/>
      <c r="H63" s="49"/>
    </row>
    <row r="64" ht="15.75" customHeight="1">
      <c r="A64" s="74" t="s">
        <v>182</v>
      </c>
      <c r="B64" s="72">
        <v>45.0</v>
      </c>
      <c r="C64" s="137">
        <v>46266.0</v>
      </c>
      <c r="D64" s="74" t="s">
        <v>183</v>
      </c>
      <c r="E64" s="69">
        <v>25.0</v>
      </c>
      <c r="F64" s="138"/>
      <c r="G64" s="48"/>
      <c r="H64" s="49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 ht="15.75" customHeight="1">
      <c r="A65" s="51" t="s">
        <v>186</v>
      </c>
      <c r="B65" s="53">
        <v>498.0</v>
      </c>
      <c r="C65" s="91">
        <v>46353.0</v>
      </c>
      <c r="D65" s="56" t="s">
        <v>187</v>
      </c>
      <c r="E65" s="69">
        <v>200.0</v>
      </c>
      <c r="F65" s="66"/>
      <c r="G65" s="48"/>
      <c r="H65" s="49"/>
    </row>
    <row r="66" ht="15.75" customHeight="1">
      <c r="A66" s="71" t="s">
        <v>188</v>
      </c>
      <c r="B66" s="72">
        <v>14.0</v>
      </c>
      <c r="C66" s="55">
        <v>46235.0</v>
      </c>
      <c r="D66" s="74"/>
      <c r="E66" s="69"/>
      <c r="F66" s="66"/>
      <c r="G66" s="48"/>
      <c r="H66" s="49"/>
    </row>
    <row r="67" ht="15.75" customHeight="1">
      <c r="A67" s="51" t="s">
        <v>190</v>
      </c>
      <c r="B67" s="53">
        <v>32.0</v>
      </c>
      <c r="C67" s="56">
        <v>2027.0</v>
      </c>
      <c r="D67" s="56" t="s">
        <v>192</v>
      </c>
      <c r="E67" s="69">
        <v>15.0</v>
      </c>
      <c r="F67" s="49"/>
      <c r="G67" s="48"/>
      <c r="H67" s="49"/>
    </row>
    <row r="68" ht="15.75" customHeight="1">
      <c r="A68" s="71" t="s">
        <v>193</v>
      </c>
      <c r="B68" s="72">
        <v>14.0</v>
      </c>
      <c r="C68" s="137">
        <v>46327.0</v>
      </c>
      <c r="D68" s="74" t="s">
        <v>194</v>
      </c>
      <c r="E68" s="69">
        <v>25.0</v>
      </c>
      <c r="F68" s="140"/>
      <c r="G68" s="48"/>
      <c r="H68" s="49"/>
    </row>
    <row r="69" ht="15.75" customHeight="1">
      <c r="A69" s="141" t="s">
        <v>195</v>
      </c>
      <c r="B69" s="53">
        <v>168.0</v>
      </c>
      <c r="C69" s="107">
        <v>46296.0</v>
      </c>
      <c r="D69" s="56" t="s">
        <v>196</v>
      </c>
      <c r="E69" s="142">
        <v>50.0</v>
      </c>
      <c r="F69" s="102"/>
      <c r="G69" s="48"/>
      <c r="H69" s="49"/>
    </row>
    <row r="70" ht="15.75" customHeight="1">
      <c r="A70" s="143" t="s">
        <v>197</v>
      </c>
      <c r="B70" s="72">
        <v>108.0</v>
      </c>
      <c r="C70" s="101">
        <v>46419.0</v>
      </c>
      <c r="D70" s="74" t="s">
        <v>196</v>
      </c>
      <c r="E70" s="142">
        <v>50.0</v>
      </c>
      <c r="F70" s="102"/>
      <c r="G70" s="48"/>
      <c r="H70" s="49"/>
    </row>
    <row r="71" ht="30.0" hidden="1" customHeight="1">
      <c r="A71" s="144" t="s">
        <v>198</v>
      </c>
      <c r="B71" s="146"/>
      <c r="C71" s="148"/>
      <c r="D71" s="114"/>
      <c r="E71" s="98"/>
      <c r="F71" s="66"/>
      <c r="G71" s="48"/>
      <c r="H71" s="49"/>
    </row>
    <row r="72" ht="26.25" hidden="1" customHeight="1">
      <c r="A72" s="151" t="s">
        <v>199</v>
      </c>
      <c r="B72" s="152"/>
      <c r="C72" s="51"/>
      <c r="D72" s="86"/>
      <c r="E72" s="98"/>
      <c r="F72" s="66"/>
      <c r="G72" s="48"/>
      <c r="H72" s="49"/>
    </row>
    <row r="73" ht="27.75" hidden="1" customHeight="1">
      <c r="A73" s="144" t="s">
        <v>200</v>
      </c>
      <c r="B73" s="146"/>
      <c r="C73" s="148"/>
      <c r="D73" s="114"/>
      <c r="E73" s="98"/>
      <c r="F73" s="66"/>
      <c r="G73" s="48"/>
      <c r="H73" s="49"/>
    </row>
    <row r="74" ht="15.75" hidden="1" customHeight="1">
      <c r="A74" s="151" t="s">
        <v>202</v>
      </c>
      <c r="B74" s="152"/>
      <c r="C74" s="51"/>
      <c r="D74" s="86"/>
      <c r="E74" s="98"/>
      <c r="F74" s="66"/>
      <c r="G74" s="48"/>
      <c r="H74" s="49"/>
    </row>
    <row r="75" ht="15.75" customHeight="1">
      <c r="A75" s="143" t="s">
        <v>204</v>
      </c>
      <c r="B75" s="72">
        <v>7.0</v>
      </c>
      <c r="C75" s="74">
        <v>2028.0</v>
      </c>
      <c r="D75" s="74"/>
      <c r="E75" s="69"/>
      <c r="F75" s="66"/>
      <c r="G75" s="48"/>
      <c r="H75" s="49"/>
    </row>
    <row r="76" ht="15.75" hidden="1" customHeight="1">
      <c r="A76" s="114" t="s">
        <v>205</v>
      </c>
      <c r="B76" s="96"/>
      <c r="C76" s="88"/>
      <c r="D76" s="86"/>
      <c r="E76" s="98"/>
      <c r="F76" s="66"/>
      <c r="G76" s="48"/>
      <c r="H76" s="49"/>
    </row>
    <row r="77" ht="15.75" hidden="1" customHeight="1">
      <c r="A77" s="114" t="s">
        <v>206</v>
      </c>
      <c r="B77" s="115"/>
      <c r="C77" s="114"/>
      <c r="D77" s="114"/>
      <c r="E77" s="115"/>
      <c r="F77" s="66"/>
      <c r="G77" s="160"/>
      <c r="H77" s="49"/>
    </row>
    <row r="78" ht="15.75" hidden="1" customHeight="1">
      <c r="A78" s="114" t="s">
        <v>208</v>
      </c>
      <c r="B78" s="115"/>
      <c r="C78" s="161"/>
      <c r="D78" s="114"/>
      <c r="E78" s="115"/>
      <c r="F78" s="66"/>
      <c r="G78" s="160"/>
      <c r="H78" s="49"/>
    </row>
    <row r="79" ht="15.75" hidden="1" customHeight="1">
      <c r="A79" s="114" t="s">
        <v>209</v>
      </c>
      <c r="B79" s="115"/>
      <c r="C79" s="114"/>
      <c r="D79" s="114"/>
      <c r="E79" s="115"/>
      <c r="F79" s="66"/>
      <c r="G79" s="160"/>
      <c r="H79" s="49"/>
    </row>
    <row r="80">
      <c r="A80" s="71" t="s">
        <v>211</v>
      </c>
      <c r="B80" s="72">
        <v>41.0</v>
      </c>
      <c r="C80" s="162">
        <v>46463.0</v>
      </c>
      <c r="D80" s="163"/>
      <c r="E80" s="69"/>
      <c r="F80" s="66"/>
      <c r="G80" s="48"/>
      <c r="H80" s="49"/>
    </row>
    <row r="81" ht="15.75" customHeight="1">
      <c r="A81" s="51" t="s">
        <v>213</v>
      </c>
      <c r="B81" s="72">
        <v>60.0</v>
      </c>
      <c r="C81" s="55">
        <v>46357.0</v>
      </c>
      <c r="D81" s="163"/>
      <c r="E81" s="69"/>
      <c r="F81" s="66"/>
      <c r="G81" s="48"/>
      <c r="H81" s="49"/>
    </row>
    <row r="82" ht="15.75" customHeight="1">
      <c r="A82" s="71" t="s">
        <v>215</v>
      </c>
      <c r="B82" s="53">
        <v>13.0</v>
      </c>
      <c r="C82" s="74">
        <v>2027.0</v>
      </c>
      <c r="D82" s="51"/>
      <c r="E82" s="69"/>
      <c r="F82" s="66"/>
      <c r="G82" s="48"/>
      <c r="H82" s="49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 ht="15.75" customHeight="1">
      <c r="A83" s="74" t="s">
        <v>218</v>
      </c>
      <c r="B83" s="72">
        <v>80.0</v>
      </c>
      <c r="C83" s="101">
        <v>46296.0</v>
      </c>
      <c r="D83" s="71"/>
      <c r="E83" s="69"/>
      <c r="F83" s="66"/>
      <c r="G83" s="48"/>
      <c r="H83" s="49"/>
    </row>
    <row r="84" ht="21.75" customHeight="1">
      <c r="A84" s="51" t="s">
        <v>220</v>
      </c>
      <c r="B84" s="167">
        <v>104.0</v>
      </c>
      <c r="C84" s="168">
        <v>46243.0</v>
      </c>
      <c r="D84" s="56" t="s">
        <v>221</v>
      </c>
      <c r="E84" s="69">
        <v>150.0</v>
      </c>
      <c r="F84" s="112"/>
      <c r="G84" s="169"/>
      <c r="H84" s="111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ht="21.75" customHeight="1">
      <c r="A85" s="56" t="s">
        <v>224</v>
      </c>
      <c r="B85" s="53">
        <v>1.0</v>
      </c>
      <c r="C85" s="137">
        <v>46419.0</v>
      </c>
      <c r="D85" s="56"/>
      <c r="E85" s="69">
        <v>50.0</v>
      </c>
      <c r="F85" s="66"/>
      <c r="G85" s="160"/>
      <c r="H85" s="49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 ht="28.5" customHeight="1">
      <c r="A86" s="108" t="s">
        <v>226</v>
      </c>
      <c r="B86" s="62">
        <v>0.0</v>
      </c>
      <c r="C86" s="80"/>
      <c r="D86" s="105"/>
      <c r="E86" s="69"/>
      <c r="F86" s="66"/>
      <c r="G86" s="48"/>
      <c r="H86" s="49"/>
    </row>
    <row r="87" ht="28.5" customHeight="1">
      <c r="A87" s="108" t="s">
        <v>228</v>
      </c>
      <c r="B87" s="62">
        <v>0.0</v>
      </c>
      <c r="C87" s="80"/>
      <c r="D87" s="105"/>
      <c r="E87" s="69"/>
      <c r="F87" s="66"/>
      <c r="G87" s="48"/>
      <c r="H87" s="49"/>
    </row>
    <row r="88" ht="28.5" customHeight="1">
      <c r="A88" s="74" t="s">
        <v>229</v>
      </c>
      <c r="B88" s="72">
        <v>24.0</v>
      </c>
      <c r="C88" s="74">
        <v>2027.0</v>
      </c>
      <c r="D88" s="74" t="s">
        <v>231</v>
      </c>
      <c r="E88" s="69">
        <v>100.0</v>
      </c>
      <c r="F88" s="66"/>
      <c r="G88" s="48"/>
      <c r="H88" s="49"/>
    </row>
    <row r="89" ht="15.0" customHeight="1">
      <c r="A89" s="51" t="s">
        <v>233</v>
      </c>
      <c r="B89" s="53">
        <v>70.0</v>
      </c>
      <c r="C89" s="137">
        <v>46388.0</v>
      </c>
      <c r="D89" s="56" t="s">
        <v>235</v>
      </c>
      <c r="E89" s="69">
        <v>50.0</v>
      </c>
      <c r="F89" s="66"/>
      <c r="G89" s="48"/>
      <c r="H89" s="49"/>
    </row>
    <row r="90" ht="15.0" customHeight="1">
      <c r="A90" s="71" t="s">
        <v>237</v>
      </c>
      <c r="B90" s="72">
        <v>33.0</v>
      </c>
      <c r="C90" s="74">
        <v>2027.0</v>
      </c>
      <c r="D90" s="74"/>
      <c r="E90" s="69">
        <v>50.0</v>
      </c>
      <c r="F90" s="102"/>
      <c r="G90" s="48"/>
      <c r="H90" s="49"/>
    </row>
    <row r="91" ht="15.75" customHeight="1">
      <c r="A91" s="61" t="s">
        <v>239</v>
      </c>
      <c r="B91" s="62">
        <v>0.0</v>
      </c>
      <c r="C91" s="179"/>
      <c r="D91" s="105"/>
      <c r="E91" s="69"/>
      <c r="F91" s="102"/>
      <c r="G91" s="48"/>
      <c r="H91" s="49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 ht="28.5" customHeight="1">
      <c r="A92" s="105" t="s">
        <v>245</v>
      </c>
      <c r="B92" s="62">
        <v>0.0</v>
      </c>
      <c r="C92" s="180"/>
      <c r="D92" s="105"/>
      <c r="E92" s="69"/>
      <c r="F92" s="66"/>
      <c r="G92" s="48"/>
      <c r="H92" s="49"/>
    </row>
    <row r="93" ht="28.5" customHeight="1">
      <c r="A93" s="74" t="s">
        <v>246</v>
      </c>
      <c r="B93" s="72">
        <v>78.0</v>
      </c>
      <c r="C93" s="74" t="s">
        <v>247</v>
      </c>
      <c r="D93" s="74" t="s">
        <v>248</v>
      </c>
      <c r="E93" s="69">
        <v>20.0</v>
      </c>
      <c r="F93" s="66"/>
      <c r="G93" s="48"/>
      <c r="H93" s="49"/>
    </row>
    <row r="94" ht="28.5" customHeight="1">
      <c r="A94" s="56" t="s">
        <v>250</v>
      </c>
      <c r="B94" s="72">
        <v>41.0</v>
      </c>
      <c r="C94" s="74">
        <v>2027.0</v>
      </c>
      <c r="D94" s="74" t="s">
        <v>248</v>
      </c>
      <c r="E94" s="69">
        <v>20.0</v>
      </c>
      <c r="F94" s="66"/>
      <c r="G94" s="48"/>
      <c r="H94" s="49"/>
    </row>
    <row r="95" ht="28.5" customHeight="1">
      <c r="A95" s="56" t="s">
        <v>253</v>
      </c>
      <c r="B95" s="53"/>
      <c r="C95" s="74">
        <v>2027.0</v>
      </c>
      <c r="D95" s="56" t="s">
        <v>254</v>
      </c>
      <c r="E95" s="69" t="s">
        <v>177</v>
      </c>
      <c r="F95" s="66"/>
      <c r="G95" s="48"/>
      <c r="H95" s="49"/>
    </row>
    <row r="96" ht="28.5" customHeight="1">
      <c r="A96" s="61" t="s">
        <v>256</v>
      </c>
      <c r="B96" s="171">
        <v>0.0</v>
      </c>
      <c r="C96" s="80"/>
      <c r="D96" s="108"/>
      <c r="E96" s="69"/>
      <c r="F96" s="66"/>
      <c r="G96" s="48"/>
      <c r="H96" s="49"/>
    </row>
    <row r="97">
      <c r="A97" s="105" t="s">
        <v>259</v>
      </c>
      <c r="B97" s="62">
        <v>0.0</v>
      </c>
      <c r="C97" s="105"/>
      <c r="D97" s="105"/>
      <c r="E97" s="69"/>
      <c r="F97" s="66"/>
      <c r="G97" s="160"/>
      <c r="H97" s="49"/>
    </row>
    <row r="98">
      <c r="A98" s="74" t="s">
        <v>262</v>
      </c>
      <c r="B98" s="72">
        <v>33.0</v>
      </c>
      <c r="C98" s="74">
        <v>2028.0</v>
      </c>
      <c r="D98" s="74"/>
      <c r="E98" s="69" t="s">
        <v>177</v>
      </c>
      <c r="F98" s="66"/>
      <c r="G98" s="160"/>
      <c r="H98" s="49"/>
    </row>
    <row r="99" ht="15.75" customHeight="1">
      <c r="A99" s="108" t="s">
        <v>263</v>
      </c>
      <c r="B99" s="171">
        <v>0.0</v>
      </c>
      <c r="C99" s="105"/>
      <c r="D99" s="108"/>
      <c r="E99" s="69">
        <v>20.0</v>
      </c>
      <c r="F99" s="66"/>
      <c r="G99" s="48"/>
      <c r="H99" s="49"/>
    </row>
    <row r="100" ht="18.0" customHeight="1">
      <c r="A100" s="71" t="s">
        <v>265</v>
      </c>
      <c r="B100" s="53">
        <v>60.0</v>
      </c>
      <c r="C100" s="55">
        <v>46296.0</v>
      </c>
      <c r="D100" s="56"/>
      <c r="E100" s="69">
        <v>20.0</v>
      </c>
      <c r="F100" s="66"/>
      <c r="G100" s="48"/>
      <c r="H100" s="49"/>
    </row>
    <row r="101" ht="18.0" customHeight="1">
      <c r="A101" s="61" t="s">
        <v>266</v>
      </c>
      <c r="B101" s="62">
        <v>0.0</v>
      </c>
      <c r="C101" s="80"/>
      <c r="D101" s="105"/>
      <c r="E101" s="69"/>
      <c r="F101" s="66"/>
      <c r="G101" s="48"/>
      <c r="H101" s="49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 ht="15.75" customHeight="1">
      <c r="A102" s="71" t="s">
        <v>267</v>
      </c>
      <c r="B102" s="53">
        <v>23.0</v>
      </c>
      <c r="C102" s="137">
        <v>46419.0</v>
      </c>
      <c r="D102" s="74" t="s">
        <v>275</v>
      </c>
      <c r="E102" s="69">
        <v>50.0</v>
      </c>
      <c r="F102" s="189"/>
      <c r="G102" s="48"/>
      <c r="H102" s="49"/>
    </row>
    <row r="103" ht="15.75" customHeight="1">
      <c r="A103" s="190" t="s">
        <v>64</v>
      </c>
      <c r="B103" s="191">
        <v>69.0</v>
      </c>
      <c r="C103" s="105"/>
      <c r="D103" s="56"/>
      <c r="E103" s="69">
        <v>50.0</v>
      </c>
      <c r="F103" s="66"/>
      <c r="G103" s="48"/>
      <c r="H103" s="49"/>
    </row>
    <row r="104" ht="20.25" customHeight="1">
      <c r="A104" s="74" t="s">
        <v>280</v>
      </c>
      <c r="B104" s="193">
        <v>65.0</v>
      </c>
      <c r="C104" s="101">
        <v>46356.0</v>
      </c>
      <c r="D104" s="56"/>
      <c r="E104" s="69">
        <v>50.0</v>
      </c>
      <c r="F104" s="66"/>
      <c r="G104" s="48"/>
      <c r="H104" s="49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 ht="15.75" customHeight="1">
      <c r="A105" s="61" t="s">
        <v>268</v>
      </c>
      <c r="B105" s="62">
        <v>0.0</v>
      </c>
      <c r="C105" s="195"/>
      <c r="D105" s="105"/>
      <c r="E105" s="69"/>
      <c r="F105" s="66"/>
      <c r="G105" s="48"/>
      <c r="H105" s="49"/>
    </row>
    <row r="106" ht="15.75" customHeight="1">
      <c r="A106" s="71" t="s">
        <v>269</v>
      </c>
      <c r="B106" s="72">
        <v>48.0</v>
      </c>
      <c r="C106" s="56">
        <v>2027.0</v>
      </c>
      <c r="D106" s="71"/>
      <c r="E106" s="69"/>
      <c r="F106" s="66"/>
      <c r="G106" s="48"/>
      <c r="H106" s="49"/>
    </row>
    <row r="107" ht="23.25" customHeight="1">
      <c r="A107" s="74" t="s">
        <v>270</v>
      </c>
      <c r="B107" s="72">
        <v>190.0</v>
      </c>
      <c r="C107" s="83">
        <v>46422.0</v>
      </c>
      <c r="D107" s="74" t="s">
        <v>295</v>
      </c>
      <c r="E107" s="69">
        <v>50.0</v>
      </c>
      <c r="F107" s="66"/>
      <c r="G107" s="48"/>
      <c r="H107" s="49"/>
    </row>
    <row r="108" ht="22.5" hidden="1" customHeight="1">
      <c r="A108" s="86" t="s">
        <v>271</v>
      </c>
      <c r="B108" s="96"/>
      <c r="C108" s="86"/>
      <c r="D108" s="86"/>
      <c r="E108" s="69"/>
      <c r="F108" s="66"/>
      <c r="G108" s="48"/>
      <c r="H108" s="49"/>
    </row>
    <row r="109" ht="22.5" hidden="1" customHeight="1">
      <c r="A109" s="114" t="s">
        <v>273</v>
      </c>
      <c r="B109" s="197"/>
      <c r="C109" s="86"/>
      <c r="D109" s="114"/>
      <c r="E109" s="69"/>
      <c r="F109" s="189"/>
      <c r="G109" s="189"/>
      <c r="H109" s="49"/>
    </row>
    <row r="110" ht="17.25" hidden="1" customHeight="1">
      <c r="A110" s="86" t="s">
        <v>274</v>
      </c>
      <c r="B110" s="96"/>
      <c r="C110" s="88"/>
      <c r="D110" s="86"/>
      <c r="E110" s="69"/>
      <c r="F110" s="189"/>
      <c r="G110" s="66"/>
      <c r="H110" s="47"/>
    </row>
    <row r="111" ht="17.25" hidden="1" customHeight="1">
      <c r="A111" s="202" t="s">
        <v>277</v>
      </c>
      <c r="B111" s="96"/>
      <c r="C111" s="86"/>
      <c r="D111" s="86"/>
      <c r="E111" s="69"/>
      <c r="F111" s="66"/>
      <c r="G111" s="66"/>
      <c r="H111" s="47"/>
    </row>
    <row r="112" ht="17.25" hidden="1" customHeight="1">
      <c r="A112" s="202" t="s">
        <v>278</v>
      </c>
      <c r="B112" s="96"/>
      <c r="C112" s="86"/>
      <c r="D112" s="86"/>
      <c r="E112" s="69"/>
      <c r="F112" s="66"/>
      <c r="G112" s="48"/>
      <c r="H112" s="47"/>
    </row>
    <row r="113" ht="21.0" customHeight="1">
      <c r="A113" s="71" t="s">
        <v>279</v>
      </c>
      <c r="B113" s="72">
        <v>45.0</v>
      </c>
      <c r="C113" s="137">
        <v>46478.0</v>
      </c>
      <c r="D113" s="74" t="s">
        <v>304</v>
      </c>
      <c r="E113" s="69">
        <v>50.0</v>
      </c>
      <c r="F113" s="66"/>
      <c r="G113" s="48"/>
      <c r="H113" s="49"/>
    </row>
    <row r="114" ht="22.5" customHeight="1">
      <c r="A114" s="71" t="s">
        <v>281</v>
      </c>
      <c r="B114" s="76">
        <v>220.0</v>
      </c>
      <c r="C114" s="56">
        <v>2027.0</v>
      </c>
      <c r="D114" s="74" t="s">
        <v>305</v>
      </c>
      <c r="E114" s="69">
        <v>100.0</v>
      </c>
      <c r="F114" s="189"/>
      <c r="G114" s="43"/>
      <c r="H114" s="66"/>
    </row>
    <row r="115" ht="15.75" customHeight="1">
      <c r="A115" s="105" t="s">
        <v>283</v>
      </c>
      <c r="B115" s="203">
        <v>0.0</v>
      </c>
      <c r="C115" s="80"/>
      <c r="D115" s="105"/>
      <c r="E115" s="69">
        <v>20.0</v>
      </c>
      <c r="F115" s="66"/>
      <c r="G115" s="48"/>
      <c r="H115" s="49"/>
    </row>
    <row r="116" ht="14.25" customHeight="1">
      <c r="A116" s="74" t="s">
        <v>306</v>
      </c>
      <c r="B116" s="76">
        <v>27.0</v>
      </c>
      <c r="C116" s="74" t="s">
        <v>247</v>
      </c>
      <c r="D116" s="74"/>
      <c r="E116" s="69"/>
      <c r="F116" s="66"/>
      <c r="G116" s="48"/>
      <c r="H116" s="49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 ht="14.25" customHeight="1">
      <c r="A117" s="51" t="s">
        <v>284</v>
      </c>
      <c r="B117" s="76">
        <v>1100.0</v>
      </c>
      <c r="C117" s="204">
        <v>46478.0</v>
      </c>
      <c r="D117" s="74"/>
      <c r="E117" s="69"/>
      <c r="F117" s="66"/>
      <c r="G117" s="48"/>
      <c r="H117" s="49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 ht="15.75" customHeight="1">
      <c r="A118" s="51" t="s">
        <v>285</v>
      </c>
      <c r="B118" s="53">
        <v>340.0</v>
      </c>
      <c r="C118" s="137">
        <v>46327.0</v>
      </c>
      <c r="D118" s="51"/>
      <c r="E118" s="69"/>
      <c r="F118" s="66"/>
      <c r="G118" s="48"/>
      <c r="H118" s="49"/>
    </row>
    <row r="119" ht="25.5" customHeight="1">
      <c r="A119" s="105" t="s">
        <v>307</v>
      </c>
      <c r="B119" s="62">
        <v>0.0</v>
      </c>
      <c r="C119" s="106"/>
      <c r="D119" s="105"/>
      <c r="E119" s="142" t="s">
        <v>308</v>
      </c>
      <c r="F119" s="205"/>
      <c r="G119" s="48"/>
      <c r="H119" s="49"/>
    </row>
    <row r="120" ht="25.5" customHeight="1">
      <c r="A120" s="105" t="s">
        <v>309</v>
      </c>
      <c r="B120" s="62">
        <v>0.0</v>
      </c>
      <c r="C120" s="106"/>
      <c r="D120" s="105"/>
      <c r="E120" s="142" t="s">
        <v>308</v>
      </c>
      <c r="F120" s="205"/>
      <c r="G120" s="48"/>
      <c r="H120" s="49"/>
    </row>
    <row r="121" ht="25.5" customHeight="1">
      <c r="A121" s="105" t="s">
        <v>310</v>
      </c>
      <c r="B121" s="62">
        <v>0.0</v>
      </c>
      <c r="C121" s="106"/>
      <c r="D121" s="105"/>
      <c r="E121" s="142" t="s">
        <v>308</v>
      </c>
      <c r="F121" s="205"/>
      <c r="G121" s="48"/>
      <c r="H121" s="49"/>
    </row>
    <row r="122" ht="25.5" customHeight="1">
      <c r="A122" s="74" t="s">
        <v>311</v>
      </c>
      <c r="B122" s="72">
        <v>78.0</v>
      </c>
      <c r="C122" s="101">
        <v>46235.0</v>
      </c>
      <c r="D122" s="74" t="s">
        <v>312</v>
      </c>
      <c r="E122" s="142" t="s">
        <v>308</v>
      </c>
      <c r="F122" s="205" t="s">
        <v>313</v>
      </c>
      <c r="G122" s="48"/>
      <c r="H122" s="49"/>
    </row>
    <row r="123" ht="30.0" customHeight="1">
      <c r="A123" s="190" t="s">
        <v>314</v>
      </c>
      <c r="B123" s="62">
        <v>0.0</v>
      </c>
      <c r="C123" s="206"/>
      <c r="D123" s="105"/>
      <c r="E123" s="69"/>
      <c r="F123" s="66"/>
      <c r="G123" s="48"/>
      <c r="H123" s="49"/>
    </row>
    <row r="124" ht="26.25" customHeight="1">
      <c r="A124" s="108" t="s">
        <v>315</v>
      </c>
      <c r="B124" s="171">
        <v>0.0</v>
      </c>
      <c r="C124" s="80"/>
      <c r="D124" s="108"/>
      <c r="E124" s="142" t="s">
        <v>308</v>
      </c>
      <c r="F124" s="70" t="s">
        <v>316</v>
      </c>
      <c r="G124" s="48"/>
      <c r="H124" s="49"/>
    </row>
    <row r="125">
      <c r="A125" s="190" t="s">
        <v>317</v>
      </c>
      <c r="B125" s="62">
        <v>0.0</v>
      </c>
      <c r="C125" s="180"/>
      <c r="D125" s="105"/>
      <c r="E125" s="69"/>
      <c r="F125" s="207" t="s">
        <v>318</v>
      </c>
      <c r="G125" s="48"/>
      <c r="H125" s="49"/>
    </row>
    <row r="126">
      <c r="A126" s="105" t="s">
        <v>319</v>
      </c>
      <c r="B126" s="62">
        <v>0.0</v>
      </c>
      <c r="C126" s="180"/>
      <c r="D126" s="105"/>
      <c r="E126" s="69"/>
      <c r="F126" s="207" t="s">
        <v>320</v>
      </c>
      <c r="G126" s="48"/>
      <c r="H126" s="49"/>
    </row>
    <row r="127" ht="15.75" customHeight="1">
      <c r="A127" s="71" t="s">
        <v>292</v>
      </c>
      <c r="B127" s="72">
        <v>120.0</v>
      </c>
      <c r="C127" s="74">
        <v>2028.0</v>
      </c>
      <c r="D127" s="74" t="s">
        <v>321</v>
      </c>
      <c r="E127" s="69">
        <v>70.0</v>
      </c>
      <c r="F127" s="189"/>
      <c r="G127" s="48"/>
      <c r="H127" s="49"/>
    </row>
    <row r="128" ht="15.75" customHeight="1">
      <c r="A128" s="108" t="s">
        <v>322</v>
      </c>
      <c r="B128" s="171">
        <v>0.0</v>
      </c>
      <c r="C128" s="108"/>
      <c r="D128" s="108"/>
      <c r="E128" s="69">
        <v>50.0</v>
      </c>
      <c r="F128" s="66"/>
      <c r="G128" s="48"/>
      <c r="H128" s="49"/>
    </row>
    <row r="129" ht="15.75" customHeight="1">
      <c r="A129" s="108" t="s">
        <v>323</v>
      </c>
      <c r="B129" s="62">
        <v>0.0</v>
      </c>
      <c r="C129" s="105"/>
      <c r="D129" s="108"/>
      <c r="E129" s="69"/>
      <c r="F129" s="66"/>
      <c r="G129" s="48"/>
      <c r="H129" s="49"/>
    </row>
    <row r="130" ht="15.75" customHeight="1">
      <c r="A130" s="108" t="s">
        <v>324</v>
      </c>
      <c r="B130" s="62">
        <v>0.0</v>
      </c>
      <c r="C130" s="105"/>
      <c r="D130" s="108"/>
      <c r="E130" s="69">
        <v>50.0</v>
      </c>
      <c r="F130" s="66"/>
      <c r="G130" s="48"/>
      <c r="H130" s="49"/>
    </row>
    <row r="131" ht="15.75" customHeight="1">
      <c r="A131" s="108" t="s">
        <v>325</v>
      </c>
      <c r="B131" s="171">
        <v>35.0</v>
      </c>
      <c r="C131" s="208"/>
      <c r="D131" s="108"/>
      <c r="E131" s="193"/>
      <c r="F131" s="66"/>
      <c r="G131" s="48"/>
      <c r="H131" s="49"/>
    </row>
    <row r="132" ht="15.75" customHeight="1">
      <c r="A132" s="105" t="s">
        <v>326</v>
      </c>
      <c r="B132" s="62">
        <v>0.0</v>
      </c>
      <c r="C132" s="105"/>
      <c r="D132" s="105"/>
      <c r="E132" s="69">
        <v>20.0</v>
      </c>
      <c r="F132" s="66"/>
      <c r="G132" s="48"/>
      <c r="H132" s="49"/>
    </row>
    <row r="133" ht="15.75" customHeight="1">
      <c r="A133" s="61" t="s">
        <v>297</v>
      </c>
      <c r="B133" s="62">
        <v>0.0</v>
      </c>
      <c r="C133" s="105"/>
      <c r="D133" s="105"/>
      <c r="E133" s="69">
        <v>20.0</v>
      </c>
      <c r="F133" s="66"/>
      <c r="G133" s="48"/>
      <c r="H133" s="49"/>
    </row>
    <row r="134" ht="15.75" customHeight="1">
      <c r="A134" s="190" t="s">
        <v>298</v>
      </c>
      <c r="B134" s="62">
        <v>0.0</v>
      </c>
      <c r="C134" s="80"/>
      <c r="D134" s="105"/>
      <c r="E134" s="69">
        <v>50.0</v>
      </c>
      <c r="F134" s="66"/>
      <c r="G134" s="48"/>
      <c r="H134" s="49"/>
    </row>
    <row r="135" ht="15.75" customHeight="1">
      <c r="A135" s="51" t="s">
        <v>299</v>
      </c>
      <c r="B135" s="53">
        <v>50.0</v>
      </c>
      <c r="C135" s="56">
        <v>2030.0</v>
      </c>
      <c r="D135" s="56" t="s">
        <v>327</v>
      </c>
      <c r="E135" s="69">
        <v>50.0</v>
      </c>
      <c r="F135" s="66"/>
      <c r="G135" s="48"/>
      <c r="H135" s="49"/>
    </row>
    <row r="136" ht="15.75" customHeight="1">
      <c r="A136" s="51" t="s">
        <v>300</v>
      </c>
      <c r="B136" s="53">
        <v>43.0</v>
      </c>
      <c r="C136" s="137">
        <v>46388.0</v>
      </c>
      <c r="D136" s="56"/>
      <c r="E136" s="69"/>
      <c r="F136" s="127"/>
      <c r="G136" s="127"/>
      <c r="H136" s="127"/>
      <c r="I136" s="127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</row>
    <row r="137" ht="15.75" customHeight="1">
      <c r="A137" s="190" t="s">
        <v>301</v>
      </c>
      <c r="B137" s="171">
        <v>0.0</v>
      </c>
      <c r="C137" s="139"/>
      <c r="D137" s="190"/>
      <c r="E137" s="69"/>
      <c r="F137" s="48"/>
      <c r="G137" s="48"/>
      <c r="H137" s="48"/>
      <c r="I137" s="48"/>
    </row>
    <row r="138" ht="15.75" customHeight="1">
      <c r="A138" s="105" t="s">
        <v>328</v>
      </c>
      <c r="B138" s="62">
        <v>0.0</v>
      </c>
      <c r="C138" s="139"/>
      <c r="D138" s="105"/>
      <c r="E138" s="69"/>
      <c r="F138" s="48"/>
      <c r="G138" s="48"/>
      <c r="H138" s="48"/>
      <c r="I138" s="48"/>
    </row>
    <row r="139" ht="15.75" customHeight="1">
      <c r="A139" s="151" t="s">
        <v>303</v>
      </c>
      <c r="B139" s="53">
        <v>51.0</v>
      </c>
      <c r="C139" s="56">
        <v>2028.0</v>
      </c>
      <c r="D139" s="56" t="s">
        <v>329</v>
      </c>
      <c r="E139" s="69">
        <v>20.0</v>
      </c>
      <c r="F139" s="48"/>
      <c r="G139" s="48"/>
      <c r="H139" s="48"/>
      <c r="I139" s="48"/>
    </row>
    <row r="140" ht="15.75" customHeight="1">
      <c r="A140" s="209" t="s">
        <v>330</v>
      </c>
      <c r="B140" s="171">
        <v>0.0</v>
      </c>
      <c r="C140" s="210"/>
      <c r="D140" s="210"/>
      <c r="E140" s="69">
        <v>20.0</v>
      </c>
      <c r="F140" s="48"/>
      <c r="G140" s="48"/>
      <c r="H140" s="48"/>
      <c r="I140" s="48"/>
    </row>
    <row r="141" ht="15.75" customHeight="1">
      <c r="A141" s="89"/>
      <c r="B141" s="89"/>
      <c r="C141" s="89"/>
      <c r="D141" s="211"/>
      <c r="E141" s="48"/>
      <c r="F141" s="66"/>
    </row>
    <row r="142" ht="15.75" customHeight="1">
      <c r="A142" s="89"/>
      <c r="B142" s="89"/>
      <c r="C142" s="89"/>
      <c r="D142" s="211"/>
      <c r="E142" s="48"/>
      <c r="F142" s="66"/>
    </row>
    <row r="143" ht="15.75" customHeight="1">
      <c r="A143" s="89"/>
      <c r="B143" s="89"/>
      <c r="C143" s="89"/>
      <c r="D143" s="211"/>
      <c r="E143" s="48"/>
      <c r="F143" s="66"/>
    </row>
    <row r="144" ht="15.75" customHeight="1">
      <c r="A144" s="212"/>
      <c r="B144" s="212"/>
      <c r="C144" s="89"/>
      <c r="D144" s="211"/>
      <c r="E144" s="48"/>
      <c r="F144" s="66"/>
    </row>
    <row r="145" ht="15.75" customHeight="1">
      <c r="A145" s="213" t="s">
        <v>331</v>
      </c>
      <c r="B145" s="5"/>
      <c r="C145" s="9"/>
      <c r="D145" s="211"/>
      <c r="E145" s="48"/>
      <c r="F145" s="66"/>
    </row>
    <row r="146" ht="15.75" customHeight="1">
      <c r="A146" s="212"/>
      <c r="B146" s="212"/>
      <c r="C146" s="89"/>
      <c r="D146" s="211"/>
      <c r="E146" s="48"/>
      <c r="F146" s="66"/>
    </row>
    <row r="147" ht="15.75" customHeight="1">
      <c r="A147" s="214" t="s">
        <v>332</v>
      </c>
      <c r="B147" s="215" t="s">
        <v>333</v>
      </c>
      <c r="C147" s="214" t="s">
        <v>334</v>
      </c>
      <c r="D147" s="211"/>
      <c r="E147" s="48"/>
      <c r="F147" s="66"/>
    </row>
    <row r="148" ht="15.75" customHeight="1">
      <c r="A148" s="216" t="s">
        <v>147</v>
      </c>
      <c r="B148" s="53">
        <v>8.0</v>
      </c>
      <c r="C148" s="217"/>
      <c r="D148" s="218"/>
      <c r="E148" s="69"/>
      <c r="F148" s="66"/>
    </row>
    <row r="149">
      <c r="A149" s="56" t="s">
        <v>335</v>
      </c>
      <c r="B149" s="78">
        <v>10.0</v>
      </c>
      <c r="C149" s="56"/>
      <c r="D149" s="219"/>
      <c r="E149" s="220"/>
      <c r="F149" s="221"/>
    </row>
    <row r="150" ht="15.75" customHeight="1">
      <c r="A150" s="61" t="s">
        <v>336</v>
      </c>
      <c r="B150" s="171">
        <v>0.0</v>
      </c>
      <c r="C150" s="105"/>
      <c r="D150" s="222"/>
      <c r="E150" s="69"/>
      <c r="F150" s="66"/>
    </row>
    <row r="151" ht="15.75" customHeight="1">
      <c r="A151" s="51" t="s">
        <v>337</v>
      </c>
      <c r="B151" s="53">
        <v>123.0</v>
      </c>
      <c r="C151" s="55">
        <v>46357.0</v>
      </c>
      <c r="D151" s="223"/>
      <c r="E151" s="224"/>
      <c r="F151" s="225"/>
      <c r="G151" s="48"/>
      <c r="H151" s="66"/>
    </row>
    <row r="152" ht="15.75" customHeight="1">
      <c r="A152" s="74" t="s">
        <v>338</v>
      </c>
      <c r="B152" s="53">
        <v>21.0</v>
      </c>
      <c r="C152" s="55">
        <v>46235.0</v>
      </c>
      <c r="D152" s="163"/>
      <c r="E152" s="69"/>
      <c r="F152" s="66"/>
    </row>
    <row r="153" ht="15.75" customHeight="1">
      <c r="A153" s="71" t="s">
        <v>339</v>
      </c>
      <c r="B153" s="53">
        <v>16.0</v>
      </c>
      <c r="C153" s="55"/>
      <c r="D153" s="163"/>
      <c r="E153" s="69"/>
      <c r="F153" s="66"/>
    </row>
    <row r="154" ht="15.75" customHeight="1">
      <c r="A154" s="105" t="s">
        <v>340</v>
      </c>
      <c r="B154" s="171">
        <v>0.0</v>
      </c>
      <c r="C154" s="118"/>
      <c r="D154" s="226"/>
      <c r="E154" s="69"/>
      <c r="F154" s="66"/>
    </row>
    <row r="155" ht="15.75" customHeight="1">
      <c r="A155" s="51" t="s">
        <v>341</v>
      </c>
      <c r="B155" s="53">
        <v>110.0</v>
      </c>
      <c r="C155" s="83"/>
      <c r="D155" s="227"/>
      <c r="E155" s="220"/>
      <c r="F155" s="225"/>
    </row>
    <row r="156" ht="15.75" customHeight="1">
      <c r="A156" s="71" t="s">
        <v>342</v>
      </c>
      <c r="B156" s="53">
        <v>10.0</v>
      </c>
      <c r="C156" s="56"/>
      <c r="D156" s="163"/>
      <c r="E156" s="220"/>
      <c r="F156" s="66"/>
    </row>
    <row r="157" ht="15.75" customHeight="1">
      <c r="A157" s="51" t="s">
        <v>343</v>
      </c>
      <c r="B157" s="53">
        <v>22.0</v>
      </c>
      <c r="C157" s="56"/>
      <c r="D157" s="223"/>
      <c r="E157" s="220"/>
      <c r="F157" s="225"/>
    </row>
    <row r="158" ht="22.5" customHeight="1">
      <c r="A158" s="61" t="s">
        <v>344</v>
      </c>
      <c r="B158" s="171">
        <v>22.0</v>
      </c>
      <c r="C158" s="105"/>
      <c r="D158" s="226"/>
      <c r="E158" s="220"/>
      <c r="F158" s="66"/>
    </row>
    <row r="159">
      <c r="A159" s="190" t="s">
        <v>345</v>
      </c>
      <c r="B159" s="171">
        <v>1.0</v>
      </c>
      <c r="C159" s="139"/>
      <c r="D159" s="228"/>
      <c r="E159" s="220"/>
      <c r="F159" s="66"/>
    </row>
    <row r="160" ht="15.75" customHeight="1">
      <c r="A160" s="61" t="s">
        <v>346</v>
      </c>
      <c r="B160" s="171">
        <v>17.0</v>
      </c>
      <c r="C160" s="105"/>
      <c r="D160" s="226"/>
      <c r="E160" s="69"/>
      <c r="F160" s="66"/>
    </row>
    <row r="161" ht="15.75" customHeight="1">
      <c r="A161" s="190" t="s">
        <v>347</v>
      </c>
      <c r="B161" s="171">
        <v>20.0</v>
      </c>
      <c r="C161" s="108"/>
      <c r="D161" s="229"/>
      <c r="E161" s="69"/>
      <c r="F161" s="66"/>
    </row>
    <row r="162" ht="15.75" customHeight="1">
      <c r="A162" s="61" t="s">
        <v>348</v>
      </c>
      <c r="B162" s="171">
        <v>65.0</v>
      </c>
      <c r="C162" s="105"/>
      <c r="D162" s="226"/>
      <c r="E162" s="220"/>
      <c r="F162" s="231"/>
    </row>
    <row r="163" ht="15.75" customHeight="1">
      <c r="A163" s="61" t="s">
        <v>349</v>
      </c>
      <c r="B163" s="171">
        <v>90.0</v>
      </c>
      <c r="C163" s="208"/>
      <c r="D163" s="232"/>
      <c r="E163" s="220"/>
      <c r="F163" s="66"/>
    </row>
    <row r="164" ht="15.75" customHeight="1">
      <c r="A164" s="190" t="s">
        <v>350</v>
      </c>
      <c r="B164" s="171">
        <v>0.0</v>
      </c>
      <c r="C164" s="108"/>
      <c r="D164" s="229"/>
      <c r="E164" s="69"/>
      <c r="F164" s="66"/>
      <c r="G164" s="48"/>
      <c r="H164" s="233"/>
    </row>
    <row r="165" ht="15.75" customHeight="1">
      <c r="A165" s="71" t="s">
        <v>43</v>
      </c>
      <c r="B165" s="53">
        <v>76.0</v>
      </c>
      <c r="C165" s="85"/>
      <c r="D165" s="218"/>
      <c r="E165" s="69"/>
      <c r="F165" s="66"/>
    </row>
    <row r="166" ht="15.75" customHeight="1">
      <c r="A166" s="74" t="s">
        <v>351</v>
      </c>
      <c r="B166" s="78">
        <v>0.0</v>
      </c>
      <c r="C166" s="83"/>
      <c r="D166" s="218"/>
      <c r="E166" s="69"/>
      <c r="F166" s="235"/>
    </row>
    <row r="167" ht="15.75" customHeight="1">
      <c r="A167" s="108" t="s">
        <v>352</v>
      </c>
      <c r="B167" s="155">
        <v>10.0</v>
      </c>
      <c r="C167" s="208"/>
      <c r="D167" s="229"/>
      <c r="E167" s="220"/>
      <c r="F167" s="225"/>
    </row>
    <row r="168" ht="15.75" customHeight="1">
      <c r="A168" s="236" t="s">
        <v>353</v>
      </c>
      <c r="B168" s="171">
        <v>0.0</v>
      </c>
      <c r="C168" s="228"/>
      <c r="D168" s="237"/>
      <c r="E168" s="69"/>
      <c r="F168" s="66"/>
    </row>
    <row r="169" ht="15.75" customHeight="1">
      <c r="A169" s="105" t="s">
        <v>354</v>
      </c>
      <c r="B169" s="171">
        <v>0.0</v>
      </c>
      <c r="C169" s="180"/>
      <c r="D169" s="183"/>
      <c r="E169" s="69"/>
      <c r="F169" s="66"/>
    </row>
    <row r="170" ht="15.75" customHeight="1">
      <c r="A170" s="71" t="s">
        <v>355</v>
      </c>
      <c r="B170" s="53">
        <v>46.0</v>
      </c>
      <c r="C170" s="83"/>
      <c r="D170" s="238"/>
      <c r="E170" s="69"/>
      <c r="F170" s="66"/>
    </row>
    <row r="171" ht="15.75" customHeight="1">
      <c r="A171" s="216" t="s">
        <v>356</v>
      </c>
      <c r="B171" s="53">
        <v>0.0</v>
      </c>
      <c r="C171" s="101"/>
      <c r="D171" s="239"/>
      <c r="E171" s="69"/>
      <c r="F171" s="66"/>
    </row>
    <row r="172" ht="15.75" customHeight="1">
      <c r="A172" s="236" t="s">
        <v>357</v>
      </c>
      <c r="B172" s="171">
        <v>0.0</v>
      </c>
      <c r="C172" s="80"/>
      <c r="D172" s="237"/>
      <c r="E172" s="69"/>
      <c r="F172" s="66"/>
    </row>
    <row r="173" ht="15.75" customHeight="1">
      <c r="A173" s="105" t="s">
        <v>358</v>
      </c>
      <c r="B173" s="171">
        <v>0.0</v>
      </c>
      <c r="C173" s="180"/>
      <c r="D173" s="183"/>
      <c r="E173" s="69"/>
      <c r="F173" s="66"/>
    </row>
    <row r="174" ht="15.75" customHeight="1">
      <c r="A174" s="71" t="s">
        <v>359</v>
      </c>
      <c r="B174" s="53">
        <v>20.0</v>
      </c>
      <c r="C174" s="240"/>
      <c r="D174" s="238"/>
      <c r="E174" s="69"/>
      <c r="F174" s="66"/>
    </row>
    <row r="175" ht="15.75" customHeight="1">
      <c r="A175" s="241" t="s">
        <v>360</v>
      </c>
      <c r="B175" s="171">
        <v>0.0</v>
      </c>
      <c r="C175" s="242"/>
      <c r="D175" s="243"/>
      <c r="E175" s="69"/>
      <c r="F175" s="66"/>
    </row>
    <row r="176" ht="15.75" customHeight="1">
      <c r="A176" s="216" t="s">
        <v>361</v>
      </c>
      <c r="B176" s="53">
        <v>15.0</v>
      </c>
      <c r="C176" s="101"/>
      <c r="D176" s="239"/>
      <c r="E176" s="69"/>
      <c r="F176" s="66"/>
    </row>
    <row r="177" ht="15.75" customHeight="1">
      <c r="A177" s="244" t="s">
        <v>362</v>
      </c>
      <c r="B177" s="53">
        <v>3.0</v>
      </c>
      <c r="C177" s="137"/>
      <c r="D177" s="245"/>
      <c r="E177" s="69"/>
      <c r="F177" s="66"/>
    </row>
    <row r="178" ht="15.75" customHeight="1">
      <c r="A178" s="246" t="s">
        <v>1</v>
      </c>
      <c r="B178" s="96"/>
      <c r="C178" s="247"/>
      <c r="D178" s="89"/>
      <c r="E178" s="98"/>
      <c r="F178" s="66"/>
    </row>
    <row r="179" ht="15.75" customHeight="1">
      <c r="A179" s="248"/>
      <c r="B179" s="96"/>
      <c r="C179" s="249"/>
      <c r="D179" s="122"/>
      <c r="E179" s="98"/>
      <c r="F179" s="66"/>
    </row>
    <row r="180" ht="15.75" customHeight="1">
      <c r="A180" s="212"/>
      <c r="B180" s="212"/>
      <c r="C180" s="89"/>
      <c r="D180" s="89"/>
      <c r="E180" s="89"/>
    </row>
    <row r="181" ht="15.75" customHeight="1">
      <c r="A181" s="250"/>
      <c r="B181" s="250"/>
      <c r="E181" s="89"/>
    </row>
    <row r="182" ht="15.75" customHeight="1">
      <c r="A182" s="250"/>
      <c r="B182" s="250"/>
      <c r="E182" s="89"/>
    </row>
    <row r="183" ht="15.75" customHeight="1">
      <c r="A183" s="251" t="s">
        <v>15</v>
      </c>
      <c r="B183" s="250"/>
      <c r="E183" s="89"/>
    </row>
    <row r="184" ht="15.75" customHeight="1">
      <c r="A184" s="250"/>
      <c r="B184" s="250"/>
      <c r="E184" s="89"/>
    </row>
    <row r="185" ht="15.75" customHeight="1">
      <c r="A185" s="250"/>
      <c r="B185" s="250"/>
      <c r="E185" s="89"/>
    </row>
    <row r="186" ht="15.75" customHeight="1">
      <c r="A186" s="250"/>
      <c r="B186" s="250"/>
      <c r="E186" s="89"/>
    </row>
    <row r="187" ht="15.75" customHeight="1">
      <c r="A187" s="251" t="s">
        <v>363</v>
      </c>
      <c r="B187" s="250"/>
      <c r="E187" s="89"/>
    </row>
    <row r="188" ht="15.75" customHeight="1">
      <c r="A188" s="250"/>
      <c r="B188" s="250"/>
      <c r="E188" s="89"/>
    </row>
    <row r="189" ht="15.75" customHeight="1">
      <c r="A189" s="250"/>
      <c r="B189" s="250"/>
      <c r="E189" s="89"/>
    </row>
    <row r="190" ht="15.75" customHeight="1">
      <c r="A190" s="250"/>
      <c r="B190" s="250"/>
      <c r="E190" s="89"/>
    </row>
    <row r="191" ht="15.75" customHeight="1">
      <c r="A191" s="250"/>
      <c r="B191" s="250"/>
      <c r="E191" s="89"/>
    </row>
    <row r="192" ht="15.75" customHeight="1">
      <c r="A192" s="250"/>
      <c r="B192" s="250"/>
      <c r="E192" s="89"/>
    </row>
    <row r="193" ht="15.75" customHeight="1">
      <c r="A193" s="250"/>
      <c r="B193" s="250"/>
      <c r="E193" s="89"/>
    </row>
    <row r="194" ht="15.75" customHeight="1">
      <c r="A194" s="250"/>
      <c r="B194" s="250"/>
      <c r="E194" s="89"/>
    </row>
    <row r="195" ht="15.75" customHeight="1">
      <c r="A195" s="250"/>
      <c r="B195" s="250"/>
    </row>
    <row r="196" ht="15.75" customHeight="1">
      <c r="A196" s="250"/>
      <c r="B196" s="250"/>
    </row>
    <row r="197" ht="15.75" customHeight="1">
      <c r="A197" s="250"/>
      <c r="B197" s="250"/>
      <c r="E197" s="11" t="s">
        <v>364</v>
      </c>
    </row>
    <row r="198" ht="15.75" customHeight="1">
      <c r="A198" s="250"/>
      <c r="B198" s="250"/>
    </row>
    <row r="199" ht="15.75" customHeight="1">
      <c r="A199" s="250"/>
      <c r="B199" s="250"/>
    </row>
    <row r="200" ht="15.75" customHeight="1">
      <c r="A200" s="250"/>
      <c r="B200" s="250"/>
    </row>
    <row r="201" ht="15.75" customHeight="1">
      <c r="A201" s="250"/>
      <c r="B201" s="250"/>
    </row>
    <row r="202" ht="15.75" customHeight="1">
      <c r="A202" s="250"/>
      <c r="B202" s="250"/>
    </row>
    <row r="203" ht="15.75" customHeight="1">
      <c r="A203" s="250"/>
      <c r="B203" s="250"/>
    </row>
    <row r="204" ht="15.75" customHeight="1">
      <c r="A204" s="250"/>
      <c r="B204" s="250"/>
    </row>
    <row r="205" ht="15.75" customHeight="1">
      <c r="A205" s="250"/>
      <c r="B205" s="250"/>
    </row>
    <row r="206" ht="15.75" customHeight="1">
      <c r="A206" s="250"/>
      <c r="B206" s="250"/>
    </row>
    <row r="207" ht="15.75" customHeight="1">
      <c r="A207" s="250"/>
      <c r="B207" s="250"/>
    </row>
    <row r="208" ht="15.75" customHeight="1">
      <c r="A208" s="250"/>
      <c r="B208" s="250"/>
    </row>
    <row r="209" ht="15.75" customHeight="1">
      <c r="A209" s="250"/>
      <c r="B209" s="250"/>
    </row>
    <row r="210" ht="15.75" customHeight="1">
      <c r="A210" s="250"/>
      <c r="B210" s="250"/>
    </row>
    <row r="211" ht="15.75" customHeight="1">
      <c r="A211" s="250"/>
      <c r="B211" s="250"/>
    </row>
    <row r="212" ht="15.75" customHeight="1">
      <c r="A212" s="250"/>
      <c r="B212" s="250"/>
    </row>
    <row r="213" ht="15.75" customHeight="1">
      <c r="A213" s="250"/>
      <c r="B213" s="250"/>
    </row>
    <row r="214" ht="15.75" customHeight="1">
      <c r="A214" s="250"/>
      <c r="B214" s="250"/>
    </row>
    <row r="215" ht="15.75" customHeight="1">
      <c r="A215" s="250"/>
      <c r="B215" s="250"/>
    </row>
    <row r="216" ht="15.75" customHeight="1">
      <c r="A216" s="250"/>
      <c r="B216" s="250"/>
    </row>
    <row r="217" ht="15.75" customHeight="1">
      <c r="A217" s="250"/>
      <c r="B217" s="250"/>
    </row>
    <row r="218" ht="15.75" customHeight="1">
      <c r="A218" s="250"/>
      <c r="B218" s="250"/>
    </row>
    <row r="219" ht="15.75" customHeight="1">
      <c r="A219" s="250"/>
      <c r="B219" s="250"/>
    </row>
    <row r="220" ht="15.75" customHeight="1">
      <c r="A220" s="250"/>
      <c r="B220" s="250"/>
    </row>
    <row r="221" ht="15.75" customHeight="1">
      <c r="A221" s="250"/>
      <c r="B221" s="250"/>
    </row>
    <row r="222" ht="15.75" customHeight="1">
      <c r="A222" s="250"/>
      <c r="B222" s="250"/>
    </row>
    <row r="223" ht="15.75" customHeight="1">
      <c r="A223" s="250"/>
      <c r="B223" s="250"/>
    </row>
    <row r="224" ht="15.75" customHeight="1">
      <c r="A224" s="250"/>
      <c r="B224" s="250"/>
    </row>
    <row r="225" ht="15.75" customHeight="1">
      <c r="A225" s="250"/>
      <c r="B225" s="250"/>
    </row>
    <row r="226" ht="15.75" customHeight="1">
      <c r="A226" s="250"/>
      <c r="B226" s="250"/>
    </row>
    <row r="227" ht="15.75" customHeight="1">
      <c r="A227" s="250"/>
      <c r="B227" s="250"/>
    </row>
    <row r="228" ht="15.75" customHeight="1">
      <c r="A228" s="250"/>
      <c r="B228" s="250"/>
    </row>
    <row r="229" ht="15.75" customHeight="1">
      <c r="A229" s="250"/>
      <c r="B229" s="250"/>
    </row>
    <row r="230" ht="15.75" customHeight="1">
      <c r="A230" s="250"/>
      <c r="B230" s="250"/>
    </row>
    <row r="231" ht="15.75" customHeight="1">
      <c r="A231" s="250"/>
      <c r="B231" s="250"/>
    </row>
    <row r="232" ht="15.75" customHeight="1">
      <c r="A232" s="250"/>
      <c r="B232" s="250"/>
    </row>
    <row r="233" ht="15.75" customHeight="1">
      <c r="A233" s="250"/>
      <c r="B233" s="250"/>
    </row>
    <row r="234" ht="15.75" customHeight="1">
      <c r="A234" s="250"/>
      <c r="B234" s="250"/>
    </row>
    <row r="235" ht="15.75" customHeight="1">
      <c r="A235" s="250"/>
      <c r="B235" s="250"/>
    </row>
    <row r="236" ht="15.75" customHeight="1">
      <c r="A236" s="250"/>
      <c r="B236" s="250"/>
    </row>
    <row r="237" ht="15.75" customHeight="1">
      <c r="A237" s="250"/>
      <c r="B237" s="250"/>
    </row>
    <row r="238" ht="15.75" customHeight="1">
      <c r="A238" s="250"/>
      <c r="B238" s="250"/>
    </row>
    <row r="239" ht="15.75" customHeight="1">
      <c r="A239" s="250"/>
      <c r="B239" s="250"/>
    </row>
    <row r="240" ht="15.75" customHeight="1">
      <c r="A240" s="250"/>
      <c r="B240" s="250"/>
    </row>
    <row r="241" ht="15.75" customHeight="1">
      <c r="A241" s="250"/>
      <c r="B241" s="250"/>
    </row>
    <row r="242" ht="15.75" customHeight="1">
      <c r="A242" s="250"/>
      <c r="B242" s="250"/>
    </row>
    <row r="243" ht="15.75" customHeight="1">
      <c r="A243" s="250"/>
      <c r="B243" s="250"/>
    </row>
    <row r="244" ht="15.75" customHeight="1">
      <c r="A244" s="250"/>
      <c r="B244" s="250"/>
    </row>
    <row r="245" ht="15.75" customHeight="1">
      <c r="A245" s="250"/>
      <c r="B245" s="250"/>
    </row>
    <row r="246" ht="15.75" customHeight="1">
      <c r="A246" s="250"/>
      <c r="B246" s="250"/>
    </row>
    <row r="247" ht="15.75" customHeight="1">
      <c r="A247" s="250"/>
      <c r="B247" s="250"/>
    </row>
    <row r="248" ht="15.75" customHeight="1">
      <c r="A248" s="250"/>
      <c r="B248" s="250"/>
    </row>
    <row r="249" ht="15.75" customHeight="1">
      <c r="A249" s="250"/>
      <c r="B249" s="250"/>
    </row>
    <row r="250" ht="15.75" customHeight="1">
      <c r="A250" s="250"/>
      <c r="B250" s="250"/>
    </row>
    <row r="251" ht="15.75" customHeight="1">
      <c r="A251" s="250"/>
      <c r="B251" s="250"/>
    </row>
    <row r="252" ht="15.75" customHeight="1">
      <c r="A252" s="250"/>
      <c r="B252" s="250"/>
    </row>
    <row r="253" ht="15.75" customHeight="1">
      <c r="A253" s="250"/>
      <c r="B253" s="250"/>
    </row>
    <row r="254" ht="15.75" customHeight="1">
      <c r="A254" s="250"/>
      <c r="B254" s="250"/>
    </row>
    <row r="255" ht="15.75" customHeight="1">
      <c r="A255" s="250"/>
      <c r="B255" s="250"/>
    </row>
    <row r="256" ht="15.75" customHeight="1">
      <c r="A256" s="250"/>
      <c r="B256" s="250"/>
    </row>
    <row r="257" ht="15.75" customHeight="1">
      <c r="A257" s="250"/>
      <c r="B257" s="250"/>
    </row>
    <row r="258" ht="15.75" customHeight="1">
      <c r="A258" s="250"/>
      <c r="B258" s="250"/>
    </row>
    <row r="259" ht="15.75" customHeight="1">
      <c r="A259" s="250"/>
      <c r="B259" s="250"/>
    </row>
    <row r="260" ht="15.75" customHeight="1">
      <c r="A260" s="250"/>
      <c r="B260" s="250"/>
    </row>
    <row r="261" ht="15.75" customHeight="1">
      <c r="A261" s="250"/>
      <c r="B261" s="250"/>
    </row>
    <row r="262" ht="15.75" customHeight="1">
      <c r="A262" s="250"/>
      <c r="B262" s="250"/>
    </row>
    <row r="263" ht="15.75" customHeight="1">
      <c r="A263" s="250"/>
      <c r="B263" s="250"/>
    </row>
    <row r="264" ht="15.75" customHeight="1">
      <c r="A264" s="250"/>
      <c r="B264" s="250"/>
    </row>
    <row r="265" ht="15.75" customHeight="1">
      <c r="A265" s="250"/>
      <c r="B265" s="250"/>
    </row>
    <row r="266" ht="15.75" customHeight="1">
      <c r="A266" s="250"/>
      <c r="B266" s="250"/>
    </row>
    <row r="267" ht="15.75" customHeight="1">
      <c r="A267" s="250"/>
      <c r="B267" s="250"/>
    </row>
    <row r="268" ht="15.75" customHeight="1">
      <c r="A268" s="250"/>
      <c r="B268" s="250"/>
    </row>
    <row r="269" ht="15.75" customHeight="1">
      <c r="A269" s="250"/>
      <c r="B269" s="250"/>
    </row>
    <row r="270" ht="15.75" customHeight="1">
      <c r="A270" s="250"/>
      <c r="B270" s="250"/>
    </row>
    <row r="271" ht="15.75" customHeight="1">
      <c r="A271" s="250"/>
      <c r="B271" s="250"/>
    </row>
    <row r="272" ht="15.75" customHeight="1">
      <c r="A272" s="250"/>
      <c r="B272" s="250"/>
    </row>
    <row r="273" ht="15.75" customHeight="1">
      <c r="A273" s="250"/>
      <c r="B273" s="250"/>
    </row>
    <row r="274" ht="15.75" customHeight="1">
      <c r="A274" s="250"/>
      <c r="B274" s="250"/>
    </row>
    <row r="275" ht="15.75" customHeight="1">
      <c r="A275" s="250"/>
      <c r="B275" s="250"/>
    </row>
    <row r="276" ht="15.75" customHeight="1">
      <c r="A276" s="250"/>
      <c r="B276" s="250"/>
    </row>
    <row r="277" ht="15.75" customHeight="1">
      <c r="A277" s="250"/>
      <c r="B277" s="250"/>
    </row>
    <row r="278" ht="15.75" customHeight="1">
      <c r="A278" s="250"/>
      <c r="B278" s="250"/>
    </row>
    <row r="279" ht="15.75" customHeight="1">
      <c r="A279" s="250"/>
      <c r="B279" s="250"/>
    </row>
    <row r="280" ht="15.75" customHeight="1">
      <c r="A280" s="250"/>
      <c r="B280" s="250"/>
    </row>
    <row r="281" ht="15.75" customHeight="1">
      <c r="A281" s="250"/>
      <c r="B281" s="250"/>
    </row>
    <row r="282" ht="15.75" customHeight="1">
      <c r="A282" s="250"/>
      <c r="B282" s="250"/>
    </row>
    <row r="283" ht="15.75" customHeight="1">
      <c r="A283" s="250"/>
      <c r="B283" s="250"/>
    </row>
    <row r="284" ht="15.75" customHeight="1">
      <c r="A284" s="250"/>
      <c r="B284" s="250"/>
    </row>
    <row r="285" ht="15.75" customHeight="1">
      <c r="A285" s="250"/>
      <c r="B285" s="250"/>
    </row>
    <row r="286" ht="15.75" customHeight="1">
      <c r="A286" s="250"/>
      <c r="B286" s="250"/>
    </row>
    <row r="287" ht="15.75" customHeight="1">
      <c r="A287" s="250"/>
      <c r="B287" s="250"/>
    </row>
    <row r="288" ht="15.75" customHeight="1">
      <c r="A288" s="250"/>
      <c r="B288" s="250"/>
    </row>
    <row r="289" ht="15.75" customHeight="1">
      <c r="A289" s="250"/>
      <c r="B289" s="250"/>
    </row>
    <row r="290" ht="15.75" customHeight="1">
      <c r="A290" s="250"/>
      <c r="B290" s="250"/>
    </row>
    <row r="291" ht="15.75" customHeight="1">
      <c r="A291" s="250"/>
      <c r="B291" s="250"/>
    </row>
    <row r="292" ht="15.75" customHeight="1">
      <c r="A292" s="250"/>
      <c r="B292" s="250"/>
    </row>
    <row r="293" ht="15.75" customHeight="1">
      <c r="A293" s="250"/>
      <c r="B293" s="250"/>
    </row>
    <row r="294" ht="15.75" customHeight="1">
      <c r="A294" s="250"/>
      <c r="B294" s="250"/>
    </row>
    <row r="295" ht="15.75" customHeight="1">
      <c r="A295" s="250"/>
      <c r="B295" s="250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</sheetData>
  <mergeCells count="2">
    <mergeCell ref="A1:C1"/>
    <mergeCell ref="A145:C145"/>
  </mergeCells>
  <printOptions/>
  <pageMargins bottom="0.19788007268322233" footer="0.0" header="0.0" left="0.16190187764990918" right="0.2698364627498486" top="0.12592368261659603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0.71"/>
    <col customWidth="1" min="5" max="5" width="21.57"/>
  </cols>
  <sheetData>
    <row r="2">
      <c r="A2" s="1" t="s">
        <v>0</v>
      </c>
      <c r="B2" s="4"/>
      <c r="C2" s="4"/>
      <c r="D2" s="4"/>
      <c r="E2" s="8"/>
    </row>
    <row r="3">
      <c r="A3" s="10" t="s">
        <v>2</v>
      </c>
      <c r="B3" s="12" t="s">
        <v>5</v>
      </c>
      <c r="C3" s="15" t="s">
        <v>6</v>
      </c>
      <c r="D3" s="8"/>
      <c r="E3" s="18" t="s">
        <v>7</v>
      </c>
    </row>
    <row r="4">
      <c r="A4" s="22" t="s">
        <v>8</v>
      </c>
      <c r="B4" s="22" t="s">
        <v>10</v>
      </c>
      <c r="C4" s="23">
        <v>50.0</v>
      </c>
      <c r="D4" s="22" t="s">
        <v>12</v>
      </c>
      <c r="E4" s="25">
        <v>45930.0</v>
      </c>
    </row>
    <row r="5">
      <c r="A5" s="22" t="s">
        <v>8</v>
      </c>
      <c r="B5" s="22" t="s">
        <v>14</v>
      </c>
      <c r="C5" s="23">
        <v>54.0</v>
      </c>
      <c r="D5" s="22" t="s">
        <v>12</v>
      </c>
      <c r="E5" s="25">
        <v>45930.0</v>
      </c>
    </row>
    <row r="6">
      <c r="A6" s="22" t="s">
        <v>8</v>
      </c>
      <c r="B6" s="22" t="s">
        <v>18</v>
      </c>
      <c r="C6" s="23">
        <v>150.0</v>
      </c>
      <c r="D6" s="22" t="s">
        <v>20</v>
      </c>
      <c r="E6" s="25">
        <v>45930.0</v>
      </c>
    </row>
    <row r="7">
      <c r="A7" s="22" t="s">
        <v>8</v>
      </c>
      <c r="B7" s="22" t="s">
        <v>23</v>
      </c>
      <c r="C7" s="23">
        <v>150.0</v>
      </c>
      <c r="D7" s="22" t="s">
        <v>20</v>
      </c>
      <c r="E7" s="25">
        <v>45930.0</v>
      </c>
    </row>
    <row r="8">
      <c r="A8" s="22" t="s">
        <v>8</v>
      </c>
      <c r="B8" s="22" t="s">
        <v>26</v>
      </c>
      <c r="C8" s="23">
        <v>100.0</v>
      </c>
      <c r="D8" s="22" t="s">
        <v>12</v>
      </c>
      <c r="E8" s="25">
        <v>45930.0</v>
      </c>
    </row>
    <row r="9">
      <c r="A9" s="22" t="s">
        <v>8</v>
      </c>
      <c r="B9" s="22" t="s">
        <v>27</v>
      </c>
      <c r="C9" s="23">
        <v>40.0</v>
      </c>
      <c r="D9" s="22" t="s">
        <v>12</v>
      </c>
      <c r="E9" s="25">
        <v>45930.0</v>
      </c>
    </row>
    <row r="10">
      <c r="A10" s="22" t="s">
        <v>8</v>
      </c>
      <c r="B10" s="22" t="s">
        <v>28</v>
      </c>
      <c r="C10" s="23">
        <v>30.0</v>
      </c>
      <c r="D10" s="22" t="s">
        <v>12</v>
      </c>
      <c r="E10" s="25">
        <v>45930.0</v>
      </c>
    </row>
    <row r="11">
      <c r="A11" s="50" t="s">
        <v>29</v>
      </c>
      <c r="B11" s="50" t="s">
        <v>30</v>
      </c>
      <c r="C11" s="52"/>
      <c r="D11" s="52"/>
      <c r="E11" s="54">
        <v>45931.0</v>
      </c>
    </row>
    <row r="12">
      <c r="A12" s="50" t="s">
        <v>29</v>
      </c>
      <c r="B12" s="50" t="s">
        <v>31</v>
      </c>
      <c r="C12" s="52"/>
      <c r="D12" s="52"/>
      <c r="E12" s="54">
        <v>45931.0</v>
      </c>
    </row>
    <row r="13">
      <c r="A13" s="50" t="s">
        <v>29</v>
      </c>
      <c r="B13" s="50" t="s">
        <v>34</v>
      </c>
      <c r="C13" s="52"/>
      <c r="D13" s="52"/>
      <c r="E13" s="54">
        <v>45931.0</v>
      </c>
    </row>
    <row r="14">
      <c r="A14" s="50" t="s">
        <v>29</v>
      </c>
      <c r="B14" s="50" t="s">
        <v>35</v>
      </c>
      <c r="C14" s="52"/>
      <c r="D14" s="52"/>
      <c r="E14" s="54">
        <v>45931.0</v>
      </c>
    </row>
    <row r="15">
      <c r="A15" s="50" t="s">
        <v>29</v>
      </c>
      <c r="B15" s="50" t="s">
        <v>38</v>
      </c>
      <c r="C15" s="52"/>
      <c r="D15" s="52"/>
      <c r="E15" s="54">
        <v>45931.0</v>
      </c>
    </row>
    <row r="16">
      <c r="A16" s="50" t="s">
        <v>29</v>
      </c>
      <c r="B16" s="50" t="s">
        <v>39</v>
      </c>
      <c r="C16" s="52"/>
      <c r="D16" s="52"/>
      <c r="E16" s="54">
        <v>45931.0</v>
      </c>
    </row>
    <row r="17">
      <c r="A17" s="50" t="s">
        <v>40</v>
      </c>
      <c r="B17" s="50" t="s">
        <v>41</v>
      </c>
      <c r="C17" s="50">
        <v>24.0</v>
      </c>
      <c r="D17" s="50" t="s">
        <v>20</v>
      </c>
      <c r="E17" s="54">
        <v>45933.0</v>
      </c>
    </row>
    <row r="18">
      <c r="A18" s="50" t="s">
        <v>40</v>
      </c>
      <c r="B18" s="50" t="s">
        <v>42</v>
      </c>
      <c r="C18" s="50">
        <v>143.0</v>
      </c>
      <c r="D18" s="50" t="s">
        <v>20</v>
      </c>
      <c r="E18" s="54">
        <v>45933.0</v>
      </c>
    </row>
    <row r="19">
      <c r="A19" s="50" t="s">
        <v>40</v>
      </c>
      <c r="B19" s="50" t="s">
        <v>43</v>
      </c>
      <c r="C19" s="50">
        <v>125.0</v>
      </c>
      <c r="D19" s="50" t="s">
        <v>20</v>
      </c>
      <c r="E19" s="54">
        <v>45933.0</v>
      </c>
    </row>
    <row r="20">
      <c r="A20" s="50" t="s">
        <v>40</v>
      </c>
      <c r="B20" s="50" t="s">
        <v>45</v>
      </c>
      <c r="C20" s="50">
        <v>40.0</v>
      </c>
      <c r="D20" s="50" t="s">
        <v>20</v>
      </c>
      <c r="E20" s="54">
        <v>45933.0</v>
      </c>
    </row>
    <row r="21">
      <c r="A21" s="50" t="s">
        <v>40</v>
      </c>
      <c r="B21" s="50" t="s">
        <v>46</v>
      </c>
      <c r="C21" s="50">
        <v>15.0</v>
      </c>
      <c r="D21" s="50" t="s">
        <v>20</v>
      </c>
      <c r="E21" s="54">
        <v>45933.0</v>
      </c>
    </row>
    <row r="22">
      <c r="A22" s="50" t="s">
        <v>47</v>
      </c>
      <c r="B22" s="50" t="s">
        <v>48</v>
      </c>
      <c r="C22" s="50">
        <v>120.0</v>
      </c>
      <c r="D22" s="50" t="s">
        <v>20</v>
      </c>
      <c r="E22" s="54">
        <v>45933.0</v>
      </c>
    </row>
    <row r="23">
      <c r="A23" s="50" t="s">
        <v>50</v>
      </c>
      <c r="B23" s="50" t="s">
        <v>51</v>
      </c>
      <c r="C23" s="50">
        <v>100.0</v>
      </c>
      <c r="D23" s="50" t="s">
        <v>12</v>
      </c>
      <c r="E23" s="54">
        <v>45937.0</v>
      </c>
    </row>
    <row r="24">
      <c r="A24" s="50" t="s">
        <v>50</v>
      </c>
      <c r="B24" s="50" t="s">
        <v>54</v>
      </c>
      <c r="C24" s="50">
        <v>100.0</v>
      </c>
      <c r="D24" s="50" t="s">
        <v>12</v>
      </c>
      <c r="E24" s="54">
        <v>45937.0</v>
      </c>
    </row>
    <row r="25">
      <c r="A25" s="50" t="s">
        <v>50</v>
      </c>
      <c r="B25" s="50" t="s">
        <v>56</v>
      </c>
      <c r="C25" s="50">
        <v>50.0</v>
      </c>
      <c r="D25" s="50" t="s">
        <v>12</v>
      </c>
      <c r="E25" s="54">
        <v>45937.0</v>
      </c>
    </row>
    <row r="26">
      <c r="A26" s="50" t="s">
        <v>50</v>
      </c>
      <c r="B26" s="50" t="s">
        <v>58</v>
      </c>
      <c r="C26" s="50">
        <v>200.0</v>
      </c>
      <c r="D26" s="50" t="s">
        <v>20</v>
      </c>
      <c r="E26" s="54">
        <v>45937.0</v>
      </c>
    </row>
    <row r="27">
      <c r="A27" s="50" t="s">
        <v>50</v>
      </c>
      <c r="B27" s="50" t="s">
        <v>59</v>
      </c>
      <c r="C27" s="50">
        <v>50.0</v>
      </c>
      <c r="D27" s="50" t="s">
        <v>12</v>
      </c>
      <c r="E27" s="54">
        <v>45937.0</v>
      </c>
    </row>
    <row r="28">
      <c r="A28" s="50" t="s">
        <v>50</v>
      </c>
      <c r="B28" s="50" t="s">
        <v>61</v>
      </c>
      <c r="C28" s="50">
        <v>50.0</v>
      </c>
      <c r="D28" s="50" t="s">
        <v>12</v>
      </c>
      <c r="E28" s="54">
        <v>45937.0</v>
      </c>
    </row>
    <row r="29">
      <c r="A29" s="50" t="s">
        <v>50</v>
      </c>
      <c r="B29" s="50" t="s">
        <v>62</v>
      </c>
      <c r="C29" s="50">
        <v>50.0</v>
      </c>
      <c r="D29" s="50" t="s">
        <v>12</v>
      </c>
      <c r="E29" s="54">
        <v>45937.0</v>
      </c>
    </row>
    <row r="30">
      <c r="A30" s="50" t="s">
        <v>50</v>
      </c>
      <c r="B30" s="50" t="s">
        <v>64</v>
      </c>
      <c r="C30" s="50">
        <v>70.0</v>
      </c>
      <c r="D30" s="50" t="s">
        <v>12</v>
      </c>
      <c r="E30" s="54">
        <v>45937.0</v>
      </c>
    </row>
    <row r="31">
      <c r="A31" s="50" t="s">
        <v>50</v>
      </c>
      <c r="B31" s="50" t="s">
        <v>66</v>
      </c>
      <c r="C31" s="50">
        <v>300.0</v>
      </c>
      <c r="D31" s="50" t="s">
        <v>20</v>
      </c>
      <c r="E31" s="54">
        <v>45937.0</v>
      </c>
    </row>
    <row r="32">
      <c r="A32" s="50" t="s">
        <v>50</v>
      </c>
      <c r="B32" s="50" t="s">
        <v>68</v>
      </c>
      <c r="C32" s="50">
        <v>100.0</v>
      </c>
      <c r="D32" s="50" t="s">
        <v>20</v>
      </c>
      <c r="E32" s="54">
        <v>45937.0</v>
      </c>
    </row>
    <row r="33">
      <c r="A33" s="50" t="s">
        <v>50</v>
      </c>
      <c r="B33" s="50" t="s">
        <v>70</v>
      </c>
      <c r="C33" s="50">
        <v>100.0</v>
      </c>
      <c r="D33" s="50" t="s">
        <v>20</v>
      </c>
      <c r="E33" s="54">
        <v>45937.0</v>
      </c>
    </row>
    <row r="34">
      <c r="A34" s="50" t="s">
        <v>72</v>
      </c>
      <c r="B34" s="50" t="s">
        <v>73</v>
      </c>
      <c r="C34" s="50">
        <v>110.0</v>
      </c>
      <c r="D34" s="50" t="s">
        <v>12</v>
      </c>
      <c r="E34" s="54">
        <v>45943.0</v>
      </c>
    </row>
    <row r="35">
      <c r="A35" s="50" t="s">
        <v>72</v>
      </c>
      <c r="B35" s="50" t="s">
        <v>54</v>
      </c>
      <c r="C35" s="50">
        <v>90.0</v>
      </c>
      <c r="D35" s="50" t="s">
        <v>12</v>
      </c>
      <c r="E35" s="54">
        <v>45943.0</v>
      </c>
    </row>
    <row r="36">
      <c r="A36" s="50" t="s">
        <v>47</v>
      </c>
      <c r="B36" s="50" t="s">
        <v>74</v>
      </c>
      <c r="C36" s="50">
        <v>90.0</v>
      </c>
      <c r="D36" s="50" t="s">
        <v>20</v>
      </c>
      <c r="E36" s="54">
        <v>45944.0</v>
      </c>
    </row>
    <row r="37">
      <c r="A37" s="50" t="s">
        <v>47</v>
      </c>
      <c r="B37" s="50" t="s">
        <v>43</v>
      </c>
      <c r="C37" s="50">
        <v>78.0</v>
      </c>
      <c r="D37" s="50" t="s">
        <v>20</v>
      </c>
      <c r="E37" s="54">
        <v>45944.0</v>
      </c>
    </row>
    <row r="38">
      <c r="A38" s="50" t="s">
        <v>50</v>
      </c>
      <c r="B38" s="50" t="s">
        <v>76</v>
      </c>
      <c r="C38" s="50">
        <v>13.0</v>
      </c>
      <c r="D38" s="50" t="s">
        <v>12</v>
      </c>
      <c r="E38" s="54">
        <v>45944.0</v>
      </c>
    </row>
    <row r="39">
      <c r="A39" s="50" t="s">
        <v>50</v>
      </c>
      <c r="B39" s="50" t="s">
        <v>77</v>
      </c>
      <c r="C39" s="50">
        <v>50.0</v>
      </c>
      <c r="D39" s="50" t="s">
        <v>20</v>
      </c>
      <c r="E39" s="54">
        <v>45944.0</v>
      </c>
    </row>
    <row r="40">
      <c r="A40" s="50" t="s">
        <v>50</v>
      </c>
      <c r="B40" s="50" t="s">
        <v>78</v>
      </c>
      <c r="C40" s="50">
        <v>30.0</v>
      </c>
      <c r="D40" s="50" t="s">
        <v>20</v>
      </c>
      <c r="E40" s="54">
        <v>45944.0</v>
      </c>
    </row>
    <row r="41">
      <c r="A41" s="50" t="s">
        <v>79</v>
      </c>
      <c r="B41" s="50" t="s">
        <v>81</v>
      </c>
      <c r="C41" s="50">
        <v>248.0</v>
      </c>
      <c r="D41" s="50" t="s">
        <v>12</v>
      </c>
      <c r="E41" s="54">
        <v>45945.0</v>
      </c>
    </row>
    <row r="42">
      <c r="A42" s="50" t="s">
        <v>79</v>
      </c>
      <c r="B42" s="50" t="s">
        <v>82</v>
      </c>
      <c r="C42" s="50">
        <v>168.0</v>
      </c>
      <c r="D42" s="50" t="s">
        <v>12</v>
      </c>
      <c r="E42" s="54">
        <v>45945.0</v>
      </c>
    </row>
    <row r="43">
      <c r="A43" s="50" t="s">
        <v>79</v>
      </c>
      <c r="B43" s="50" t="s">
        <v>83</v>
      </c>
      <c r="C43" s="50">
        <v>108.0</v>
      </c>
      <c r="D43" s="50" t="s">
        <v>12</v>
      </c>
      <c r="E43" s="54">
        <v>45945.0</v>
      </c>
    </row>
    <row r="44">
      <c r="A44" s="50" t="s">
        <v>79</v>
      </c>
      <c r="B44" s="50" t="s">
        <v>84</v>
      </c>
      <c r="C44" s="50">
        <v>120.0</v>
      </c>
      <c r="D44" s="50" t="s">
        <v>12</v>
      </c>
      <c r="E44" s="54">
        <v>45945.0</v>
      </c>
    </row>
    <row r="45">
      <c r="A45" s="50" t="s">
        <v>79</v>
      </c>
      <c r="B45" s="50" t="s">
        <v>85</v>
      </c>
      <c r="C45" s="50">
        <v>200.0</v>
      </c>
      <c r="D45" s="50" t="s">
        <v>12</v>
      </c>
      <c r="E45" s="54">
        <v>45945.0</v>
      </c>
    </row>
    <row r="46">
      <c r="A46" s="50" t="s">
        <v>79</v>
      </c>
      <c r="B46" s="50" t="s">
        <v>86</v>
      </c>
      <c r="C46" s="50">
        <v>360.0</v>
      </c>
      <c r="D46" s="50" t="s">
        <v>12</v>
      </c>
      <c r="E46" s="54">
        <v>45945.0</v>
      </c>
    </row>
    <row r="47">
      <c r="A47" s="50" t="s">
        <v>79</v>
      </c>
      <c r="B47" s="50" t="s">
        <v>87</v>
      </c>
      <c r="C47" s="50">
        <v>368.0</v>
      </c>
      <c r="D47" s="50" t="s">
        <v>12</v>
      </c>
      <c r="E47" s="54">
        <v>45945.0</v>
      </c>
    </row>
    <row r="48">
      <c r="A48" s="50" t="s">
        <v>79</v>
      </c>
      <c r="B48" s="50" t="s">
        <v>88</v>
      </c>
      <c r="C48" s="50">
        <v>270.0</v>
      </c>
      <c r="D48" s="50" t="s">
        <v>12</v>
      </c>
      <c r="E48" s="54">
        <v>45945.0</v>
      </c>
    </row>
    <row r="49">
      <c r="A49" s="50" t="s">
        <v>72</v>
      </c>
      <c r="B49" s="50" t="s">
        <v>54</v>
      </c>
      <c r="C49" s="50">
        <v>6.0</v>
      </c>
      <c r="D49" s="50" t="s">
        <v>90</v>
      </c>
      <c r="E49" s="54">
        <v>45945.0</v>
      </c>
    </row>
    <row r="50">
      <c r="A50" s="50" t="s">
        <v>29</v>
      </c>
      <c r="B50" s="50" t="s">
        <v>30</v>
      </c>
      <c r="C50" s="52"/>
      <c r="D50" s="52"/>
      <c r="E50" s="54">
        <v>45945.0</v>
      </c>
    </row>
    <row r="51">
      <c r="A51" s="50" t="s">
        <v>29</v>
      </c>
      <c r="B51" s="50" t="s">
        <v>31</v>
      </c>
      <c r="C51" s="52"/>
      <c r="D51" s="52"/>
      <c r="E51" s="54">
        <v>45945.0</v>
      </c>
    </row>
    <row r="52">
      <c r="A52" s="50" t="s">
        <v>29</v>
      </c>
      <c r="B52" s="50" t="s">
        <v>34</v>
      </c>
      <c r="C52" s="52"/>
      <c r="D52" s="52"/>
      <c r="E52" s="54">
        <v>45945.0</v>
      </c>
    </row>
    <row r="53">
      <c r="A53" s="50" t="s">
        <v>29</v>
      </c>
      <c r="B53" s="50" t="s">
        <v>35</v>
      </c>
      <c r="C53" s="52"/>
      <c r="D53" s="52"/>
      <c r="E53" s="54">
        <v>45945.0</v>
      </c>
    </row>
    <row r="54">
      <c r="A54" s="50" t="s">
        <v>29</v>
      </c>
      <c r="B54" s="50" t="s">
        <v>38</v>
      </c>
      <c r="C54" s="52"/>
      <c r="D54" s="52"/>
      <c r="E54" s="54">
        <v>45945.0</v>
      </c>
    </row>
    <row r="55">
      <c r="A55" s="50" t="s">
        <v>29</v>
      </c>
      <c r="B55" s="50" t="s">
        <v>95</v>
      </c>
      <c r="C55" s="52"/>
      <c r="D55" s="52"/>
      <c r="E55" s="54">
        <v>45945.0</v>
      </c>
    </row>
    <row r="56">
      <c r="A56" s="50" t="s">
        <v>97</v>
      </c>
      <c r="B56" s="50" t="s">
        <v>98</v>
      </c>
      <c r="C56" s="50">
        <v>50.0</v>
      </c>
      <c r="D56" s="52"/>
      <c r="E56" s="54">
        <v>45946.0</v>
      </c>
    </row>
    <row r="57">
      <c r="A57" s="50" t="s">
        <v>40</v>
      </c>
      <c r="B57" s="50" t="s">
        <v>42</v>
      </c>
      <c r="C57" s="50">
        <v>60.0</v>
      </c>
      <c r="D57" s="50" t="s">
        <v>20</v>
      </c>
      <c r="E57" s="54">
        <v>45947.0</v>
      </c>
    </row>
    <row r="58">
      <c r="A58" s="50" t="s">
        <v>40</v>
      </c>
      <c r="B58" s="50" t="s">
        <v>100</v>
      </c>
      <c r="C58" s="50">
        <v>60.0</v>
      </c>
      <c r="D58" s="50" t="s">
        <v>20</v>
      </c>
      <c r="E58" s="54">
        <v>45947.0</v>
      </c>
    </row>
    <row r="59">
      <c r="A59" s="50" t="s">
        <v>40</v>
      </c>
      <c r="B59" s="50" t="s">
        <v>103</v>
      </c>
      <c r="C59" s="52"/>
      <c r="D59" s="52"/>
      <c r="E59" s="54">
        <v>45947.0</v>
      </c>
    </row>
    <row r="60">
      <c r="A60" s="50" t="s">
        <v>40</v>
      </c>
      <c r="B60" s="50" t="s">
        <v>46</v>
      </c>
      <c r="C60" s="52"/>
      <c r="D60" s="52"/>
      <c r="E60" s="54">
        <v>45947.0</v>
      </c>
    </row>
    <row r="61">
      <c r="A61" s="50" t="s">
        <v>47</v>
      </c>
      <c r="B61" s="50" t="s">
        <v>74</v>
      </c>
      <c r="C61" s="50">
        <v>60.0</v>
      </c>
      <c r="D61" s="50" t="s">
        <v>20</v>
      </c>
      <c r="E61" s="54">
        <v>45953.0</v>
      </c>
    </row>
    <row r="62">
      <c r="A62" s="50" t="s">
        <v>47</v>
      </c>
      <c r="B62" s="50" t="s">
        <v>48</v>
      </c>
      <c r="C62" s="50">
        <v>60.0</v>
      </c>
      <c r="D62" s="50" t="s">
        <v>20</v>
      </c>
      <c r="E62" s="54">
        <v>45953.0</v>
      </c>
    </row>
    <row r="63">
      <c r="A63" s="50" t="s">
        <v>40</v>
      </c>
      <c r="B63" s="50" t="s">
        <v>106</v>
      </c>
      <c r="C63" s="50">
        <v>110.0</v>
      </c>
      <c r="D63" s="50" t="s">
        <v>20</v>
      </c>
      <c r="E63" s="54">
        <v>45954.0</v>
      </c>
    </row>
    <row r="64">
      <c r="A64" s="50" t="s">
        <v>40</v>
      </c>
      <c r="B64" s="50" t="s">
        <v>42</v>
      </c>
      <c r="C64" s="50">
        <v>30.0</v>
      </c>
      <c r="D64" s="50" t="s">
        <v>20</v>
      </c>
      <c r="E64" s="54">
        <v>45954.0</v>
      </c>
    </row>
    <row r="65">
      <c r="A65" s="50" t="s">
        <v>40</v>
      </c>
      <c r="B65" s="50" t="s">
        <v>46</v>
      </c>
      <c r="C65" s="52"/>
      <c r="D65" s="52"/>
      <c r="E65" s="54">
        <v>45954.0</v>
      </c>
    </row>
    <row r="66">
      <c r="A66" s="50" t="s">
        <v>40</v>
      </c>
      <c r="B66" s="50" t="s">
        <v>100</v>
      </c>
      <c r="C66" s="50">
        <v>20.0</v>
      </c>
      <c r="D66" s="50" t="s">
        <v>20</v>
      </c>
      <c r="E66" s="54">
        <v>45954.0</v>
      </c>
    </row>
    <row r="67">
      <c r="A67" s="50" t="s">
        <v>72</v>
      </c>
      <c r="B67" s="50" t="s">
        <v>73</v>
      </c>
      <c r="C67" s="50">
        <v>190.0</v>
      </c>
      <c r="D67" s="50" t="s">
        <v>12</v>
      </c>
      <c r="E67" s="54">
        <v>45965.0</v>
      </c>
    </row>
    <row r="68">
      <c r="A68" s="50" t="s">
        <v>72</v>
      </c>
      <c r="B68" s="50" t="s">
        <v>54</v>
      </c>
      <c r="C68" s="50">
        <v>110.0</v>
      </c>
      <c r="D68" s="50" t="s">
        <v>12</v>
      </c>
      <c r="E68" s="54">
        <v>45965.0</v>
      </c>
    </row>
    <row r="69">
      <c r="A69" s="50" t="s">
        <v>72</v>
      </c>
      <c r="B69" s="50" t="s">
        <v>112</v>
      </c>
      <c r="C69" s="50">
        <v>25.0</v>
      </c>
      <c r="D69" s="50" t="s">
        <v>12</v>
      </c>
      <c r="E69" s="54">
        <v>45965.0</v>
      </c>
    </row>
    <row r="70">
      <c r="A70" s="50" t="s">
        <v>72</v>
      </c>
      <c r="B70" s="50" t="s">
        <v>113</v>
      </c>
      <c r="C70" s="50">
        <v>70.0</v>
      </c>
      <c r="D70" s="50" t="s">
        <v>12</v>
      </c>
      <c r="E70" s="54">
        <v>45965.0</v>
      </c>
    </row>
    <row r="71">
      <c r="A71" s="50" t="s">
        <v>47</v>
      </c>
      <c r="B71" s="50" t="s">
        <v>48</v>
      </c>
      <c r="C71" s="50">
        <v>90.0</v>
      </c>
      <c r="D71" s="50" t="s">
        <v>20</v>
      </c>
      <c r="E71" s="54">
        <v>45966.0</v>
      </c>
    </row>
    <row r="72">
      <c r="A72" s="50" t="s">
        <v>40</v>
      </c>
      <c r="B72" s="50" t="s">
        <v>115</v>
      </c>
      <c r="C72" s="50">
        <v>90.0</v>
      </c>
      <c r="D72" s="50" t="s">
        <v>20</v>
      </c>
      <c r="E72" s="54">
        <v>45988.0</v>
      </c>
    </row>
    <row r="73">
      <c r="A73" s="50" t="s">
        <v>40</v>
      </c>
      <c r="B73" s="50" t="s">
        <v>106</v>
      </c>
      <c r="C73" s="50">
        <v>90.0</v>
      </c>
      <c r="D73" s="50" t="s">
        <v>20</v>
      </c>
      <c r="E73" s="54">
        <v>45988.0</v>
      </c>
    </row>
    <row r="74">
      <c r="A74" s="50" t="s">
        <v>40</v>
      </c>
      <c r="B74" s="50" t="s">
        <v>45</v>
      </c>
      <c r="C74" s="50">
        <v>40.0</v>
      </c>
      <c r="D74" s="50" t="s">
        <v>20</v>
      </c>
      <c r="E74" s="54">
        <v>45988.0</v>
      </c>
    </row>
    <row r="75">
      <c r="A75" s="50" t="s">
        <v>40</v>
      </c>
      <c r="B75" s="50" t="s">
        <v>46</v>
      </c>
      <c r="C75" s="50">
        <v>28.0</v>
      </c>
      <c r="D75" s="50" t="s">
        <v>20</v>
      </c>
      <c r="E75" s="54">
        <v>45988.0</v>
      </c>
    </row>
    <row r="76">
      <c r="A76" s="50" t="s">
        <v>40</v>
      </c>
      <c r="B76" s="50" t="s">
        <v>103</v>
      </c>
      <c r="C76" s="50">
        <v>11.0</v>
      </c>
      <c r="D76" s="50" t="s">
        <v>20</v>
      </c>
      <c r="E76" s="54">
        <v>45988.0</v>
      </c>
    </row>
    <row r="77">
      <c r="A77" s="50" t="s">
        <v>47</v>
      </c>
      <c r="B77" s="50" t="s">
        <v>119</v>
      </c>
      <c r="C77" s="50">
        <v>40.0</v>
      </c>
      <c r="D77" s="50" t="s">
        <v>20</v>
      </c>
      <c r="E77" s="54">
        <v>45992.0</v>
      </c>
    </row>
    <row r="78">
      <c r="A78" s="50" t="s">
        <v>79</v>
      </c>
      <c r="B78" s="50" t="s">
        <v>121</v>
      </c>
      <c r="C78" s="50">
        <v>24.0</v>
      </c>
      <c r="D78" s="50" t="s">
        <v>12</v>
      </c>
      <c r="E78" s="54">
        <v>45995.0</v>
      </c>
    </row>
    <row r="79">
      <c r="A79" s="50" t="s">
        <v>79</v>
      </c>
      <c r="B79" s="50" t="s">
        <v>83</v>
      </c>
      <c r="C79" s="50">
        <v>216.0</v>
      </c>
      <c r="D79" s="50" t="s">
        <v>12</v>
      </c>
      <c r="E79" s="54">
        <v>45995.0</v>
      </c>
    </row>
    <row r="80">
      <c r="A80" s="50" t="s">
        <v>79</v>
      </c>
      <c r="B80" s="50" t="s">
        <v>88</v>
      </c>
      <c r="C80" s="50">
        <v>162.0</v>
      </c>
      <c r="D80" s="50" t="s">
        <v>12</v>
      </c>
      <c r="E80" s="54">
        <v>45995.0</v>
      </c>
    </row>
    <row r="81">
      <c r="A81" s="50" t="s">
        <v>79</v>
      </c>
      <c r="B81" s="50" t="s">
        <v>124</v>
      </c>
      <c r="C81" s="50">
        <v>8.0</v>
      </c>
      <c r="D81" s="50" t="s">
        <v>12</v>
      </c>
      <c r="E81" s="54">
        <v>45995.0</v>
      </c>
    </row>
    <row r="82">
      <c r="A82" s="50" t="s">
        <v>40</v>
      </c>
      <c r="B82" s="50" t="s">
        <v>42</v>
      </c>
      <c r="C82" s="50">
        <v>100.0</v>
      </c>
      <c r="D82" s="50" t="s">
        <v>20</v>
      </c>
      <c r="E82" s="54">
        <v>45995.0</v>
      </c>
    </row>
    <row r="83">
      <c r="A83" s="50" t="s">
        <v>40</v>
      </c>
      <c r="B83" s="50" t="s">
        <v>127</v>
      </c>
      <c r="C83" s="50">
        <v>100.0</v>
      </c>
      <c r="D83" s="50" t="s">
        <v>20</v>
      </c>
      <c r="E83" s="54">
        <v>45995.0</v>
      </c>
    </row>
    <row r="84">
      <c r="A84" s="50" t="s">
        <v>47</v>
      </c>
      <c r="B84" s="50" t="s">
        <v>74</v>
      </c>
      <c r="C84" s="50">
        <v>126.0</v>
      </c>
      <c r="D84" s="50" t="s">
        <v>20</v>
      </c>
      <c r="E84" s="54">
        <v>45994.0</v>
      </c>
    </row>
    <row r="85">
      <c r="A85" s="50" t="s">
        <v>50</v>
      </c>
      <c r="B85" s="50" t="s">
        <v>128</v>
      </c>
      <c r="C85" s="50">
        <v>50.0</v>
      </c>
      <c r="D85" s="50" t="s">
        <v>12</v>
      </c>
      <c r="E85" s="54">
        <v>45995.0</v>
      </c>
    </row>
    <row r="86">
      <c r="A86" s="50" t="s">
        <v>50</v>
      </c>
      <c r="B86" s="50" t="s">
        <v>131</v>
      </c>
      <c r="C86" s="50">
        <v>32.0</v>
      </c>
      <c r="D86" s="50" t="s">
        <v>12</v>
      </c>
      <c r="E86" s="54">
        <v>45994.0</v>
      </c>
    </row>
    <row r="87">
      <c r="A87" s="50" t="s">
        <v>50</v>
      </c>
      <c r="B87" s="50" t="s">
        <v>134</v>
      </c>
      <c r="C87" s="50">
        <v>4.0</v>
      </c>
      <c r="D87" s="50" t="s">
        <v>12</v>
      </c>
      <c r="E87" s="54">
        <v>45994.0</v>
      </c>
    </row>
    <row r="88">
      <c r="A88" s="50" t="s">
        <v>50</v>
      </c>
      <c r="B88" s="50" t="s">
        <v>135</v>
      </c>
      <c r="C88" s="50">
        <v>25.0</v>
      </c>
      <c r="D88" s="50" t="s">
        <v>12</v>
      </c>
      <c r="E88" s="54">
        <v>45994.0</v>
      </c>
    </row>
    <row r="89">
      <c r="A89" s="50" t="s">
        <v>50</v>
      </c>
      <c r="B89" s="50" t="s">
        <v>136</v>
      </c>
      <c r="C89" s="50">
        <v>5.0</v>
      </c>
      <c r="D89" s="50" t="s">
        <v>12</v>
      </c>
      <c r="E89" s="54">
        <v>45994.0</v>
      </c>
    </row>
    <row r="90">
      <c r="A90" s="50" t="s">
        <v>50</v>
      </c>
      <c r="B90" s="50" t="s">
        <v>51</v>
      </c>
      <c r="C90" s="50">
        <v>50.0</v>
      </c>
      <c r="D90" s="50" t="s">
        <v>12</v>
      </c>
      <c r="E90" s="54">
        <v>45994.0</v>
      </c>
    </row>
    <row r="91">
      <c r="A91" s="50" t="s">
        <v>50</v>
      </c>
      <c r="B91" s="50" t="s">
        <v>138</v>
      </c>
      <c r="C91" s="50">
        <v>30.0</v>
      </c>
      <c r="D91" s="50" t="s">
        <v>12</v>
      </c>
      <c r="E91" s="54">
        <v>45994.0</v>
      </c>
    </row>
    <row r="92">
      <c r="A92" s="50" t="s">
        <v>50</v>
      </c>
      <c r="B92" s="50" t="s">
        <v>139</v>
      </c>
      <c r="C92" s="50">
        <v>30.0</v>
      </c>
      <c r="D92" s="50" t="s">
        <v>12</v>
      </c>
      <c r="E92" s="54">
        <v>45994.0</v>
      </c>
    </row>
    <row r="93">
      <c r="A93" s="50" t="s">
        <v>50</v>
      </c>
      <c r="B93" s="50" t="s">
        <v>142</v>
      </c>
      <c r="C93" s="50">
        <v>400.0</v>
      </c>
      <c r="D93" s="50" t="s">
        <v>20</v>
      </c>
      <c r="E93" s="54">
        <v>45994.0</v>
      </c>
    </row>
    <row r="94">
      <c r="A94" s="50" t="s">
        <v>50</v>
      </c>
      <c r="B94" s="50" t="s">
        <v>143</v>
      </c>
      <c r="C94" s="50">
        <v>118.0</v>
      </c>
      <c r="D94" s="50" t="s">
        <v>12</v>
      </c>
      <c r="E94" s="54">
        <v>45994.0</v>
      </c>
    </row>
    <row r="95">
      <c r="A95" s="50" t="s">
        <v>50</v>
      </c>
      <c r="B95" s="50" t="s">
        <v>23</v>
      </c>
      <c r="C95" s="50">
        <v>300.0</v>
      </c>
      <c r="D95" s="50" t="s">
        <v>20</v>
      </c>
      <c r="E95" s="54">
        <v>45994.0</v>
      </c>
    </row>
    <row r="96">
      <c r="A96" s="50" t="s">
        <v>50</v>
      </c>
      <c r="B96" s="50" t="s">
        <v>76</v>
      </c>
      <c r="C96" s="50">
        <v>30.0</v>
      </c>
      <c r="D96" s="50" t="s">
        <v>12</v>
      </c>
      <c r="E96" s="54">
        <v>45994.0</v>
      </c>
    </row>
    <row r="97">
      <c r="A97" s="50" t="s">
        <v>50</v>
      </c>
      <c r="B97" s="50" t="s">
        <v>145</v>
      </c>
      <c r="C97" s="50">
        <v>162.0</v>
      </c>
      <c r="D97" s="50" t="s">
        <v>20</v>
      </c>
      <c r="E97" s="54">
        <v>45994.0</v>
      </c>
    </row>
    <row r="98">
      <c r="A98" s="50" t="s">
        <v>50</v>
      </c>
      <c r="B98" s="50" t="s">
        <v>146</v>
      </c>
      <c r="C98" s="50">
        <v>60.0</v>
      </c>
      <c r="D98" s="50" t="s">
        <v>20</v>
      </c>
      <c r="E98" s="54">
        <v>45994.0</v>
      </c>
    </row>
    <row r="99">
      <c r="A99" s="50" t="s">
        <v>8</v>
      </c>
      <c r="B99" s="50" t="s">
        <v>147</v>
      </c>
      <c r="C99" s="50">
        <v>5.0</v>
      </c>
      <c r="D99" s="50" t="s">
        <v>20</v>
      </c>
      <c r="E99" s="54">
        <v>46000.0</v>
      </c>
    </row>
    <row r="100">
      <c r="A100" s="50" t="s">
        <v>8</v>
      </c>
      <c r="B100" s="50" t="s">
        <v>149</v>
      </c>
      <c r="C100" s="50">
        <v>6.0</v>
      </c>
      <c r="D100" s="50" t="s">
        <v>12</v>
      </c>
      <c r="E100" s="54">
        <v>46000.0</v>
      </c>
    </row>
    <row r="101">
      <c r="A101" s="50" t="s">
        <v>8</v>
      </c>
      <c r="B101" s="50" t="s">
        <v>151</v>
      </c>
      <c r="C101" s="50">
        <v>40.0</v>
      </c>
      <c r="D101" s="50" t="s">
        <v>12</v>
      </c>
      <c r="E101" s="54">
        <v>46000.0</v>
      </c>
    </row>
    <row r="102">
      <c r="A102" s="50" t="s">
        <v>8</v>
      </c>
      <c r="B102" s="50" t="s">
        <v>153</v>
      </c>
      <c r="C102" s="50">
        <v>50.0</v>
      </c>
      <c r="D102" s="50" t="s">
        <v>12</v>
      </c>
      <c r="E102" s="54">
        <v>46000.0</v>
      </c>
    </row>
    <row r="103">
      <c r="A103" s="50" t="s">
        <v>50</v>
      </c>
      <c r="B103" s="50" t="s">
        <v>14</v>
      </c>
      <c r="C103" s="50">
        <v>81.0</v>
      </c>
      <c r="D103" s="50" t="s">
        <v>12</v>
      </c>
      <c r="E103" s="54">
        <v>46000.0</v>
      </c>
    </row>
    <row r="104">
      <c r="A104" s="50" t="s">
        <v>72</v>
      </c>
      <c r="B104" s="50" t="s">
        <v>73</v>
      </c>
      <c r="C104" s="50">
        <v>110.0</v>
      </c>
      <c r="D104" s="50" t="s">
        <v>12</v>
      </c>
      <c r="E104" s="54">
        <v>45999.0</v>
      </c>
    </row>
    <row r="105">
      <c r="A105" s="50" t="s">
        <v>72</v>
      </c>
      <c r="B105" s="50" t="s">
        <v>54</v>
      </c>
      <c r="C105" s="50">
        <v>100.0</v>
      </c>
      <c r="D105" s="50" t="s">
        <v>12</v>
      </c>
      <c r="E105" s="54">
        <v>45999.0</v>
      </c>
    </row>
    <row r="106">
      <c r="A106" s="50" t="s">
        <v>72</v>
      </c>
      <c r="B106" s="50" t="s">
        <v>157</v>
      </c>
      <c r="C106" s="50">
        <v>30.0</v>
      </c>
      <c r="D106" s="50" t="s">
        <v>12</v>
      </c>
      <c r="E106" s="54">
        <v>45999.0</v>
      </c>
    </row>
    <row r="107">
      <c r="A107" s="50" t="s">
        <v>79</v>
      </c>
      <c r="B107" s="50" t="s">
        <v>121</v>
      </c>
      <c r="C107" s="50">
        <v>48.0</v>
      </c>
      <c r="D107" s="50" t="s">
        <v>12</v>
      </c>
      <c r="E107" s="54">
        <v>46012.0</v>
      </c>
    </row>
    <row r="108">
      <c r="A108" s="50" t="s">
        <v>79</v>
      </c>
      <c r="B108" s="50" t="s">
        <v>158</v>
      </c>
      <c r="C108" s="50">
        <v>160.0</v>
      </c>
      <c r="D108" s="50" t="s">
        <v>12</v>
      </c>
      <c r="E108" s="54">
        <v>46012.0</v>
      </c>
    </row>
    <row r="109">
      <c r="A109" s="50" t="s">
        <v>79</v>
      </c>
      <c r="B109" s="50" t="s">
        <v>160</v>
      </c>
      <c r="C109" s="50">
        <v>160.0</v>
      </c>
      <c r="D109" s="50" t="s">
        <v>12</v>
      </c>
      <c r="E109" s="54">
        <v>46012.0</v>
      </c>
    </row>
    <row r="110">
      <c r="A110" s="50" t="s">
        <v>79</v>
      </c>
      <c r="B110" s="50" t="s">
        <v>161</v>
      </c>
      <c r="C110" s="50">
        <v>120.0</v>
      </c>
      <c r="D110" s="50" t="s">
        <v>12</v>
      </c>
      <c r="E110" s="54">
        <v>46012.0</v>
      </c>
    </row>
    <row r="111">
      <c r="A111" s="50" t="s">
        <v>79</v>
      </c>
      <c r="B111" s="50" t="s">
        <v>88</v>
      </c>
      <c r="C111" s="50">
        <v>108.0</v>
      </c>
      <c r="D111" s="50" t="s">
        <v>12</v>
      </c>
      <c r="E111" s="54">
        <v>46012.0</v>
      </c>
    </row>
    <row r="112">
      <c r="A112" s="50" t="s">
        <v>79</v>
      </c>
      <c r="B112" s="50" t="s">
        <v>165</v>
      </c>
      <c r="C112" s="50">
        <v>30.0</v>
      </c>
      <c r="D112" s="50" t="s">
        <v>12</v>
      </c>
      <c r="E112" s="54">
        <v>46012.0</v>
      </c>
    </row>
    <row r="113">
      <c r="A113" s="50" t="s">
        <v>40</v>
      </c>
      <c r="B113" s="50" t="s">
        <v>42</v>
      </c>
      <c r="C113" s="50">
        <v>130.0</v>
      </c>
      <c r="D113" s="50" t="s">
        <v>20</v>
      </c>
      <c r="E113" s="54">
        <v>46019.0</v>
      </c>
    </row>
    <row r="114">
      <c r="A114" s="50" t="s">
        <v>47</v>
      </c>
      <c r="B114" s="50" t="s">
        <v>48</v>
      </c>
      <c r="C114" s="50">
        <v>130.0</v>
      </c>
      <c r="D114" s="50" t="s">
        <v>20</v>
      </c>
      <c r="E114" s="54">
        <v>46014.0</v>
      </c>
    </row>
    <row r="115">
      <c r="A115" s="50" t="s">
        <v>72</v>
      </c>
      <c r="B115" s="50" t="s">
        <v>54</v>
      </c>
      <c r="C115" s="50">
        <v>199.0</v>
      </c>
      <c r="D115" s="50" t="s">
        <v>12</v>
      </c>
      <c r="E115" s="54">
        <v>46014.0</v>
      </c>
    </row>
    <row r="116">
      <c r="A116" s="50" t="s">
        <v>72</v>
      </c>
      <c r="B116" s="50" t="s">
        <v>73</v>
      </c>
      <c r="C116" s="50">
        <v>240.0</v>
      </c>
      <c r="D116" s="50" t="s">
        <v>12</v>
      </c>
      <c r="E116" s="54">
        <v>46014.0</v>
      </c>
    </row>
    <row r="117">
      <c r="A117" s="50" t="s">
        <v>72</v>
      </c>
      <c r="B117" s="50" t="s">
        <v>112</v>
      </c>
      <c r="C117" s="50">
        <v>50.0</v>
      </c>
      <c r="D117" s="50" t="s">
        <v>12</v>
      </c>
      <c r="E117" s="54">
        <v>46014.0</v>
      </c>
    </row>
    <row r="118">
      <c r="A118" s="50" t="s">
        <v>72</v>
      </c>
      <c r="B118" s="50" t="s">
        <v>157</v>
      </c>
      <c r="C118" s="50">
        <v>20.0</v>
      </c>
      <c r="D118" s="50" t="s">
        <v>12</v>
      </c>
      <c r="E118" s="54">
        <v>46014.0</v>
      </c>
    </row>
    <row r="119">
      <c r="A119" s="50" t="s">
        <v>8</v>
      </c>
      <c r="B119" s="50" t="s">
        <v>170</v>
      </c>
      <c r="C119" s="50">
        <v>200.0</v>
      </c>
      <c r="D119" s="50" t="s">
        <v>12</v>
      </c>
      <c r="E119" s="54">
        <v>46013.0</v>
      </c>
    </row>
    <row r="120">
      <c r="A120" s="50" t="s">
        <v>8</v>
      </c>
      <c r="B120" s="50" t="s">
        <v>172</v>
      </c>
      <c r="C120" s="50">
        <v>150.0</v>
      </c>
      <c r="D120" s="50" t="s">
        <v>12</v>
      </c>
      <c r="E120" s="54">
        <v>46013.0</v>
      </c>
    </row>
    <row r="121">
      <c r="A121" s="50" t="s">
        <v>8</v>
      </c>
      <c r="B121" s="50" t="s">
        <v>174</v>
      </c>
      <c r="C121" s="50">
        <v>30.0</v>
      </c>
      <c r="D121" s="50" t="s">
        <v>12</v>
      </c>
      <c r="E121" s="54">
        <v>46013.0</v>
      </c>
    </row>
    <row r="122">
      <c r="A122" s="50" t="s">
        <v>8</v>
      </c>
      <c r="B122" s="50" t="s">
        <v>51</v>
      </c>
      <c r="C122" s="50">
        <v>100.0</v>
      </c>
      <c r="D122" s="50" t="s">
        <v>12</v>
      </c>
      <c r="E122" s="54">
        <v>46013.0</v>
      </c>
    </row>
    <row r="123">
      <c r="A123" s="50" t="s">
        <v>8</v>
      </c>
      <c r="B123" s="50" t="s">
        <v>179</v>
      </c>
      <c r="C123" s="50">
        <v>100.0</v>
      </c>
      <c r="D123" s="50" t="s">
        <v>12</v>
      </c>
      <c r="E123" s="54">
        <v>46013.0</v>
      </c>
    </row>
    <row r="124">
      <c r="A124" s="50" t="s">
        <v>50</v>
      </c>
      <c r="B124" s="50" t="s">
        <v>145</v>
      </c>
      <c r="C124" s="50">
        <v>150.0</v>
      </c>
      <c r="D124" s="50" t="s">
        <v>20</v>
      </c>
      <c r="E124" s="54">
        <v>46014.0</v>
      </c>
    </row>
    <row r="125">
      <c r="A125" s="50" t="s">
        <v>50</v>
      </c>
      <c r="B125" s="50" t="s">
        <v>70</v>
      </c>
      <c r="C125" s="50">
        <v>100.0</v>
      </c>
      <c r="D125" s="50" t="s">
        <v>20</v>
      </c>
      <c r="E125" s="54">
        <v>46014.0</v>
      </c>
    </row>
    <row r="126">
      <c r="A126" s="50" t="s">
        <v>50</v>
      </c>
      <c r="B126" s="50" t="s">
        <v>184</v>
      </c>
      <c r="C126" s="50">
        <v>80.0</v>
      </c>
      <c r="D126" s="50" t="s">
        <v>20</v>
      </c>
      <c r="E126" s="54">
        <v>46014.0</v>
      </c>
    </row>
    <row r="127">
      <c r="A127" s="50" t="s">
        <v>50</v>
      </c>
      <c r="B127" s="50" t="s">
        <v>185</v>
      </c>
      <c r="C127" s="50">
        <v>30.0</v>
      </c>
      <c r="D127" s="50" t="s">
        <v>12</v>
      </c>
      <c r="E127" s="54">
        <v>46014.0</v>
      </c>
    </row>
    <row r="128">
      <c r="A128" s="50" t="s">
        <v>50</v>
      </c>
      <c r="B128" s="50" t="s">
        <v>64</v>
      </c>
      <c r="C128" s="50">
        <v>50.0</v>
      </c>
      <c r="D128" s="50" t="s">
        <v>12</v>
      </c>
      <c r="E128" s="54">
        <v>46014.0</v>
      </c>
    </row>
    <row r="129">
      <c r="A129" s="50" t="s">
        <v>50</v>
      </c>
      <c r="B129" s="50" t="s">
        <v>142</v>
      </c>
      <c r="C129" s="50">
        <v>250.0</v>
      </c>
      <c r="D129" s="50" t="s">
        <v>12</v>
      </c>
      <c r="E129" s="54">
        <v>46014.0</v>
      </c>
    </row>
    <row r="130">
      <c r="A130" s="50" t="s">
        <v>50</v>
      </c>
      <c r="B130" s="50" t="s">
        <v>189</v>
      </c>
      <c r="C130" s="50">
        <v>50.0</v>
      </c>
      <c r="D130" s="50" t="s">
        <v>12</v>
      </c>
      <c r="E130" s="54">
        <v>46014.0</v>
      </c>
    </row>
    <row r="131">
      <c r="A131" s="50" t="s">
        <v>50</v>
      </c>
      <c r="B131" s="50" t="s">
        <v>191</v>
      </c>
      <c r="C131" s="50">
        <v>200.0</v>
      </c>
      <c r="D131" s="50" t="s">
        <v>12</v>
      </c>
      <c r="E131" s="54">
        <v>46014.0</v>
      </c>
    </row>
    <row r="132">
      <c r="A132" s="50" t="s">
        <v>50</v>
      </c>
      <c r="B132" s="50" t="s">
        <v>23</v>
      </c>
      <c r="C132" s="50">
        <v>900.0</v>
      </c>
      <c r="D132" s="50" t="s">
        <v>20</v>
      </c>
      <c r="E132" s="54">
        <v>46014.0</v>
      </c>
    </row>
    <row r="133">
      <c r="A133" s="50"/>
      <c r="B133" s="50"/>
      <c r="C133" s="50"/>
      <c r="D133" s="50"/>
      <c r="E133" s="54"/>
    </row>
    <row r="134">
      <c r="A134" s="50"/>
      <c r="B134" s="50"/>
      <c r="C134" s="50"/>
      <c r="D134" s="50"/>
      <c r="E134" s="54"/>
    </row>
    <row r="135">
      <c r="A135" s="50"/>
      <c r="B135" s="50"/>
      <c r="C135" s="50"/>
      <c r="D135" s="50"/>
      <c r="E135" s="54"/>
    </row>
    <row r="136">
      <c r="A136" s="50"/>
      <c r="B136" s="50"/>
      <c r="C136" s="50"/>
      <c r="D136" s="50"/>
      <c r="E136" s="54"/>
    </row>
    <row r="137">
      <c r="A137" s="50"/>
      <c r="B137" s="50"/>
      <c r="C137" s="50"/>
      <c r="D137" s="50"/>
      <c r="E137" s="54"/>
    </row>
  </sheetData>
  <autoFilter ref="$A$3:$E$78">
    <sortState ref="A3:E78">
      <sortCondition ref="E3:E78"/>
    </sortState>
  </autoFilter>
  <mergeCells count="2">
    <mergeCell ref="A2:E2"/>
    <mergeCell ref="C3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57"/>
    <col customWidth="1" min="2" max="2" width="5.14"/>
    <col customWidth="1" min="3" max="12" width="3.0"/>
    <col customWidth="1" min="13" max="13" width="3.29"/>
    <col customWidth="1" min="14" max="14" width="3.0"/>
    <col customWidth="1" min="15" max="15" width="3.29"/>
    <col customWidth="1" min="16" max="16" width="3.0"/>
    <col customWidth="1" min="17" max="17" width="3.29"/>
    <col customWidth="1" min="18" max="18" width="3.0"/>
    <col customWidth="1" min="19" max="19" width="3.29"/>
    <col customWidth="1" min="20" max="20" width="3.0"/>
    <col customWidth="1" min="21" max="21" width="3.29"/>
    <col customWidth="1" min="22" max="22" width="3.0"/>
    <col customWidth="1" min="23" max="23" width="3.29"/>
    <col customWidth="1" min="24" max="24" width="3.0"/>
    <col customWidth="1" min="25" max="25" width="3.29"/>
    <col customWidth="1" min="26" max="26" width="3.0"/>
    <col customWidth="1" min="27" max="27" width="3.29"/>
    <col customWidth="1" min="28" max="28" width="3.0"/>
    <col customWidth="1" min="29" max="29" width="3.29"/>
    <col customWidth="1" min="30" max="30" width="3.0"/>
    <col customWidth="1" min="31" max="31" width="3.29"/>
    <col customWidth="1" min="32" max="32" width="3.0"/>
    <col customWidth="1" min="33" max="33" width="3.29"/>
    <col customWidth="1" min="34" max="34" width="10.29"/>
    <col customWidth="1" min="35" max="35" width="6.57"/>
  </cols>
  <sheetData>
    <row r="1">
      <c r="B1" s="7"/>
    </row>
    <row r="3">
      <c r="A3" s="13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9"/>
      <c r="P3" s="20">
        <v>2023.0</v>
      </c>
      <c r="Q3" s="5"/>
      <c r="R3" s="5"/>
      <c r="S3" s="5"/>
      <c r="T3" s="9"/>
      <c r="V3" s="20" t="s">
        <v>9</v>
      </c>
      <c r="W3" s="5"/>
      <c r="X3" s="5"/>
      <c r="Y3" s="5"/>
      <c r="Z3" s="5"/>
      <c r="AA3" s="5"/>
      <c r="AB3" s="5"/>
      <c r="AC3" s="5"/>
      <c r="AD3" s="5"/>
      <c r="AE3" s="5"/>
      <c r="AF3" s="9"/>
    </row>
    <row r="5">
      <c r="A5" s="29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9"/>
    </row>
    <row r="6">
      <c r="A6" s="37" t="s">
        <v>25</v>
      </c>
      <c r="B6" s="32"/>
      <c r="C6" s="41">
        <v>1.0</v>
      </c>
      <c r="D6" s="35">
        <v>2.0</v>
      </c>
      <c r="E6" s="41">
        <v>3.0</v>
      </c>
      <c r="F6" s="35">
        <v>4.0</v>
      </c>
      <c r="G6" s="41">
        <v>5.0</v>
      </c>
      <c r="H6" s="35">
        <v>6.0</v>
      </c>
      <c r="I6" s="41">
        <v>7.0</v>
      </c>
      <c r="J6" s="35">
        <v>8.0</v>
      </c>
      <c r="K6" s="41">
        <v>9.0</v>
      </c>
      <c r="L6" s="35">
        <v>10.0</v>
      </c>
      <c r="M6" s="41">
        <v>11.0</v>
      </c>
      <c r="N6" s="35">
        <v>12.0</v>
      </c>
      <c r="O6" s="41">
        <v>13.0</v>
      </c>
      <c r="P6" s="35">
        <v>14.0</v>
      </c>
      <c r="Q6" s="41">
        <v>15.0</v>
      </c>
      <c r="R6" s="35">
        <v>16.0</v>
      </c>
      <c r="S6" s="41">
        <v>17.0</v>
      </c>
      <c r="T6" s="35">
        <v>18.0</v>
      </c>
      <c r="U6" s="41">
        <v>19.0</v>
      </c>
      <c r="V6" s="35">
        <v>20.0</v>
      </c>
      <c r="W6" s="41">
        <v>21.0</v>
      </c>
      <c r="X6" s="35">
        <v>22.0</v>
      </c>
      <c r="Y6" s="41">
        <v>23.0</v>
      </c>
      <c r="Z6" s="35">
        <v>24.0</v>
      </c>
      <c r="AA6" s="41">
        <v>25.0</v>
      </c>
      <c r="AB6" s="35">
        <v>26.0</v>
      </c>
      <c r="AC6" s="41">
        <v>27.0</v>
      </c>
      <c r="AD6" s="35">
        <v>28.0</v>
      </c>
      <c r="AE6" s="41">
        <v>29.0</v>
      </c>
      <c r="AF6" s="35">
        <v>30.0</v>
      </c>
      <c r="AG6" s="41">
        <v>31.0</v>
      </c>
      <c r="AH6" s="48" t="s">
        <v>36</v>
      </c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</row>
    <row r="8">
      <c r="A8" s="67">
        <v>1.0</v>
      </c>
      <c r="B8" s="36"/>
      <c r="C8" s="68"/>
      <c r="D8" s="39"/>
      <c r="E8" s="68"/>
      <c r="F8" s="39"/>
      <c r="G8" s="68"/>
      <c r="H8" s="39"/>
      <c r="I8" s="68"/>
      <c r="J8" s="39"/>
      <c r="K8" s="68"/>
      <c r="L8" s="39"/>
      <c r="M8" s="68"/>
      <c r="N8" s="39"/>
      <c r="O8" s="68"/>
      <c r="P8" s="39"/>
      <c r="Q8" s="68"/>
      <c r="R8" s="39"/>
      <c r="S8" s="68"/>
      <c r="T8" s="39"/>
      <c r="U8" s="68"/>
      <c r="V8" s="39"/>
      <c r="W8" s="68"/>
      <c r="X8" s="39"/>
      <c r="Y8" s="68"/>
      <c r="Z8" s="39">
        <v>10.0</v>
      </c>
      <c r="AA8" s="68"/>
      <c r="AB8" s="39"/>
      <c r="AC8" s="68"/>
      <c r="AD8" s="39"/>
      <c r="AE8" s="68"/>
      <c r="AF8" s="39"/>
      <c r="AG8" s="68"/>
      <c r="AH8" s="79">
        <f t="shared" ref="AH8:AH95" si="1">SUM(C8:AG8)</f>
        <v>10</v>
      </c>
      <c r="AI8" s="35" t="s">
        <v>69</v>
      </c>
    </row>
    <row r="9">
      <c r="A9" s="67">
        <v>2.0</v>
      </c>
      <c r="B9" s="36"/>
      <c r="C9" s="81"/>
      <c r="D9" s="35"/>
      <c r="E9" s="82"/>
      <c r="G9" s="82"/>
      <c r="I9" s="82"/>
      <c r="K9" s="82"/>
      <c r="M9" s="82"/>
      <c r="O9" s="82"/>
      <c r="Q9" s="82"/>
      <c r="S9" s="82"/>
      <c r="U9" s="82"/>
      <c r="W9" s="82"/>
      <c r="Y9" s="82"/>
      <c r="AA9" s="82"/>
      <c r="AC9" s="82"/>
      <c r="AE9" s="82"/>
      <c r="AG9" s="82"/>
      <c r="AH9" s="79">
        <f t="shared" si="1"/>
        <v>0</v>
      </c>
      <c r="AI9" s="35" t="s">
        <v>69</v>
      </c>
    </row>
    <row r="10">
      <c r="A10" s="67">
        <v>3.0</v>
      </c>
      <c r="B10" s="36"/>
      <c r="C10" s="81"/>
      <c r="D10" s="35"/>
      <c r="E10" s="82"/>
      <c r="G10" s="82"/>
      <c r="I10" s="82"/>
      <c r="K10" s="82"/>
      <c r="M10" s="82"/>
      <c r="O10" s="82"/>
      <c r="Q10" s="82"/>
      <c r="S10" s="82"/>
      <c r="U10" s="82"/>
      <c r="W10" s="82"/>
      <c r="Y10" s="82"/>
      <c r="Z10" s="19">
        <v>32.0</v>
      </c>
      <c r="AA10" s="82">
        <v>20.0</v>
      </c>
      <c r="AC10" s="82"/>
      <c r="AE10" s="82"/>
      <c r="AG10" s="82"/>
      <c r="AH10" s="79">
        <f t="shared" si="1"/>
        <v>52</v>
      </c>
      <c r="AI10" s="35" t="s">
        <v>69</v>
      </c>
    </row>
    <row r="11">
      <c r="A11" s="67">
        <v>4.0</v>
      </c>
      <c r="B11" s="36"/>
      <c r="C11" s="81"/>
      <c r="D11" s="35"/>
      <c r="E11" s="82"/>
      <c r="G11" s="82"/>
      <c r="I11" s="82"/>
      <c r="K11" s="82"/>
      <c r="M11" s="82"/>
      <c r="O11" s="82"/>
      <c r="Q11" s="82"/>
      <c r="S11" s="82"/>
      <c r="U11" s="82"/>
      <c r="W11" s="82"/>
      <c r="Y11" s="82"/>
      <c r="AA11" s="82"/>
      <c r="AC11" s="82"/>
      <c r="AE11" s="82"/>
      <c r="AG11" s="82"/>
      <c r="AH11" s="79">
        <f t="shared" si="1"/>
        <v>0</v>
      </c>
      <c r="AI11" s="35" t="s">
        <v>69</v>
      </c>
    </row>
    <row r="12">
      <c r="A12" s="67">
        <v>5.0</v>
      </c>
      <c r="B12" s="36"/>
      <c r="C12" s="81"/>
      <c r="D12" s="35"/>
      <c r="E12" s="82"/>
      <c r="G12" s="82"/>
      <c r="I12" s="82"/>
      <c r="K12" s="82"/>
      <c r="M12" s="82"/>
      <c r="O12" s="82"/>
      <c r="Q12" s="82"/>
      <c r="S12" s="82"/>
      <c r="U12" s="82"/>
      <c r="W12" s="82"/>
      <c r="Y12" s="82"/>
      <c r="AA12" s="82"/>
      <c r="AC12" s="82"/>
      <c r="AE12" s="82"/>
      <c r="AG12" s="82"/>
      <c r="AH12" s="79">
        <f t="shared" si="1"/>
        <v>0</v>
      </c>
      <c r="AI12" s="35" t="s">
        <v>69</v>
      </c>
    </row>
    <row r="13">
      <c r="A13" s="67">
        <v>6.0</v>
      </c>
      <c r="B13" s="36"/>
      <c r="C13" s="81"/>
      <c r="D13" s="35"/>
      <c r="E13" s="82"/>
      <c r="G13" s="82"/>
      <c r="I13" s="82"/>
      <c r="K13" s="82"/>
      <c r="M13" s="82"/>
      <c r="O13" s="82"/>
      <c r="Q13" s="82"/>
      <c r="S13" s="82"/>
      <c r="U13" s="82"/>
      <c r="W13" s="82"/>
      <c r="Y13" s="82"/>
      <c r="AA13" s="82"/>
      <c r="AC13" s="82"/>
      <c r="AE13" s="82"/>
      <c r="AG13" s="82"/>
      <c r="AH13" s="79">
        <f t="shared" si="1"/>
        <v>0</v>
      </c>
      <c r="AI13" s="35" t="s">
        <v>69</v>
      </c>
    </row>
    <row r="14">
      <c r="A14" s="67">
        <v>7.0</v>
      </c>
      <c r="B14" s="36"/>
      <c r="C14" s="81"/>
      <c r="D14" s="35"/>
      <c r="E14" s="82"/>
      <c r="G14" s="82"/>
      <c r="I14" s="82"/>
      <c r="K14" s="82"/>
      <c r="M14" s="82"/>
      <c r="O14" s="82"/>
      <c r="Q14" s="82"/>
      <c r="S14" s="82"/>
      <c r="U14" s="82"/>
      <c r="W14" s="82"/>
      <c r="Y14" s="82"/>
      <c r="AA14" s="82"/>
      <c r="AC14" s="82"/>
      <c r="AE14" s="82"/>
      <c r="AG14" s="82"/>
      <c r="AH14" s="79">
        <f t="shared" si="1"/>
        <v>0</v>
      </c>
      <c r="AI14" s="35" t="s">
        <v>69</v>
      </c>
    </row>
    <row r="15">
      <c r="A15" s="67">
        <v>8.0</v>
      </c>
      <c r="B15" s="36"/>
      <c r="C15" s="81"/>
      <c r="D15" s="35"/>
      <c r="E15" s="82"/>
      <c r="G15" s="82"/>
      <c r="I15" s="82"/>
      <c r="K15" s="82"/>
      <c r="M15" s="82"/>
      <c r="O15" s="82"/>
      <c r="Q15" s="82"/>
      <c r="S15" s="82"/>
      <c r="U15" s="82"/>
      <c r="W15" s="82"/>
      <c r="Y15" s="82"/>
      <c r="AA15" s="82"/>
      <c r="AC15" s="82"/>
      <c r="AE15" s="82"/>
      <c r="AG15" s="82"/>
      <c r="AH15" s="79">
        <f t="shared" si="1"/>
        <v>0</v>
      </c>
      <c r="AI15" s="35" t="s">
        <v>69</v>
      </c>
    </row>
    <row r="16">
      <c r="A16" s="67">
        <v>9.0</v>
      </c>
      <c r="B16" s="36"/>
      <c r="C16" s="81"/>
      <c r="D16" s="35"/>
      <c r="E16" s="82"/>
      <c r="G16" s="82"/>
      <c r="I16" s="82"/>
      <c r="K16" s="82"/>
      <c r="M16" s="82"/>
      <c r="O16" s="82"/>
      <c r="Q16" s="82"/>
      <c r="S16" s="82"/>
      <c r="U16" s="82"/>
      <c r="W16" s="82"/>
      <c r="Y16" s="82"/>
      <c r="AA16" s="82"/>
      <c r="AC16" s="82"/>
      <c r="AE16" s="82"/>
      <c r="AG16" s="82"/>
      <c r="AH16" s="79">
        <f t="shared" si="1"/>
        <v>0</v>
      </c>
      <c r="AI16" s="35" t="s">
        <v>69</v>
      </c>
    </row>
    <row r="17">
      <c r="A17" s="67">
        <v>10.0</v>
      </c>
      <c r="B17" s="36"/>
      <c r="C17" s="81"/>
      <c r="E17" s="82"/>
      <c r="G17" s="82"/>
      <c r="I17" s="82"/>
      <c r="K17" s="82"/>
      <c r="M17" s="82"/>
      <c r="O17" s="82"/>
      <c r="Q17" s="82"/>
      <c r="S17" s="82"/>
      <c r="U17" s="82"/>
      <c r="W17" s="82"/>
      <c r="Y17" s="82"/>
      <c r="AA17" s="82"/>
      <c r="AC17" s="82"/>
      <c r="AE17" s="82"/>
      <c r="AG17" s="82"/>
      <c r="AH17" s="79">
        <f t="shared" si="1"/>
        <v>0</v>
      </c>
      <c r="AI17" s="35" t="s">
        <v>69</v>
      </c>
    </row>
    <row r="18">
      <c r="A18" s="67">
        <v>11.0</v>
      </c>
      <c r="B18" s="36"/>
      <c r="C18" s="81"/>
      <c r="E18" s="82"/>
      <c r="G18" s="82"/>
      <c r="I18" s="82"/>
      <c r="K18" s="82"/>
      <c r="M18" s="82"/>
      <c r="O18" s="82"/>
      <c r="Q18" s="82"/>
      <c r="S18" s="82"/>
      <c r="U18" s="82"/>
      <c r="W18" s="82"/>
      <c r="Y18" s="82"/>
      <c r="Z18" s="19">
        <v>2.0</v>
      </c>
      <c r="AA18" s="82"/>
      <c r="AC18" s="82"/>
      <c r="AE18" s="82"/>
      <c r="AG18" s="82"/>
      <c r="AH18" s="79">
        <f t="shared" si="1"/>
        <v>2</v>
      </c>
      <c r="AI18" s="35" t="s">
        <v>69</v>
      </c>
    </row>
    <row r="19">
      <c r="A19" s="67">
        <v>12.0</v>
      </c>
      <c r="B19" s="36"/>
      <c r="C19" s="81"/>
      <c r="E19" s="82"/>
      <c r="G19" s="82"/>
      <c r="I19" s="82"/>
      <c r="K19" s="82"/>
      <c r="M19" s="82"/>
      <c r="O19" s="82"/>
      <c r="Q19" s="82"/>
      <c r="S19" s="82"/>
      <c r="U19" s="82"/>
      <c r="W19" s="82"/>
      <c r="Y19" s="82"/>
      <c r="AA19" s="82"/>
      <c r="AC19" s="82"/>
      <c r="AE19" s="82"/>
      <c r="AG19" s="82"/>
      <c r="AH19" s="79">
        <f t="shared" si="1"/>
        <v>0</v>
      </c>
      <c r="AI19" s="35" t="s">
        <v>69</v>
      </c>
    </row>
    <row r="20">
      <c r="A20" s="67">
        <v>13.0</v>
      </c>
      <c r="B20" s="36"/>
      <c r="C20" s="81"/>
      <c r="E20" s="82"/>
      <c r="G20" s="82"/>
      <c r="I20" s="82"/>
      <c r="K20" s="82"/>
      <c r="M20" s="82"/>
      <c r="O20" s="82"/>
      <c r="Q20" s="82"/>
      <c r="S20" s="82"/>
      <c r="U20" s="82"/>
      <c r="W20" s="82"/>
      <c r="Y20" s="82"/>
      <c r="AA20" s="82"/>
      <c r="AC20" s="82"/>
      <c r="AE20" s="82"/>
      <c r="AG20" s="82"/>
      <c r="AH20" s="79">
        <f t="shared" si="1"/>
        <v>0</v>
      </c>
      <c r="AI20" s="35" t="s">
        <v>69</v>
      </c>
    </row>
    <row r="21" ht="15.75" customHeight="1">
      <c r="A21" s="67">
        <v>14.0</v>
      </c>
      <c r="B21" s="36"/>
      <c r="C21" s="81"/>
      <c r="E21" s="82"/>
      <c r="G21" s="82"/>
      <c r="I21" s="82"/>
      <c r="K21" s="82"/>
      <c r="M21" s="82"/>
      <c r="O21" s="82"/>
      <c r="Q21" s="82"/>
      <c r="S21" s="82"/>
      <c r="U21" s="82"/>
      <c r="W21" s="82"/>
      <c r="Y21" s="82"/>
      <c r="AA21" s="82"/>
      <c r="AC21" s="82"/>
      <c r="AE21" s="82"/>
      <c r="AG21" s="82"/>
      <c r="AH21" s="79">
        <f t="shared" si="1"/>
        <v>0</v>
      </c>
      <c r="AI21" s="35" t="s">
        <v>69</v>
      </c>
    </row>
    <row r="22" ht="15.75" customHeight="1">
      <c r="A22" s="67">
        <v>15.0</v>
      </c>
      <c r="B22" s="36"/>
      <c r="C22" s="81"/>
      <c r="E22" s="82"/>
      <c r="G22" s="82"/>
      <c r="I22" s="82"/>
      <c r="K22" s="82"/>
      <c r="M22" s="82"/>
      <c r="O22" s="82"/>
      <c r="Q22" s="82"/>
      <c r="S22" s="82"/>
      <c r="U22" s="82"/>
      <c r="W22" s="82"/>
      <c r="Y22" s="82"/>
      <c r="AA22" s="82"/>
      <c r="AC22" s="82"/>
      <c r="AE22" s="82"/>
      <c r="AG22" s="82"/>
      <c r="AH22" s="79">
        <f t="shared" si="1"/>
        <v>0</v>
      </c>
      <c r="AI22" s="35" t="s">
        <v>69</v>
      </c>
    </row>
    <row r="23" ht="15.75" customHeight="1">
      <c r="A23" s="67">
        <v>16.0</v>
      </c>
      <c r="B23" s="36"/>
      <c r="C23" s="81"/>
      <c r="E23" s="82"/>
      <c r="G23" s="82"/>
      <c r="I23" s="82"/>
      <c r="K23" s="82"/>
      <c r="M23" s="82"/>
      <c r="O23" s="82"/>
      <c r="Q23" s="82"/>
      <c r="S23" s="82"/>
      <c r="U23" s="82"/>
      <c r="W23" s="82"/>
      <c r="Y23" s="82"/>
      <c r="Z23" s="19">
        <v>10.0</v>
      </c>
      <c r="AA23" s="82">
        <v>7.0</v>
      </c>
      <c r="AC23" s="82"/>
      <c r="AE23" s="82"/>
      <c r="AG23" s="82"/>
      <c r="AH23" s="79">
        <f t="shared" si="1"/>
        <v>17</v>
      </c>
      <c r="AI23" s="35" t="s">
        <v>69</v>
      </c>
    </row>
    <row r="24" ht="15.75" customHeight="1">
      <c r="A24" s="67">
        <v>19.0</v>
      </c>
      <c r="B24" s="36"/>
      <c r="C24" s="81"/>
      <c r="E24" s="82"/>
      <c r="G24" s="82"/>
      <c r="I24" s="82"/>
      <c r="K24" s="82"/>
      <c r="M24" s="82"/>
      <c r="O24" s="82"/>
      <c r="Q24" s="82"/>
      <c r="S24" s="82"/>
      <c r="U24" s="82"/>
      <c r="W24" s="82"/>
      <c r="Y24" s="82"/>
      <c r="Z24" s="19">
        <v>19.0</v>
      </c>
      <c r="AA24" s="82"/>
      <c r="AC24" s="82"/>
      <c r="AE24" s="82"/>
      <c r="AG24" s="82"/>
      <c r="AH24" s="79">
        <f t="shared" si="1"/>
        <v>19</v>
      </c>
      <c r="AI24" s="35" t="s">
        <v>69</v>
      </c>
    </row>
    <row r="25" ht="15.75" customHeight="1">
      <c r="A25" s="67">
        <v>18.0</v>
      </c>
      <c r="B25" s="36"/>
      <c r="C25" s="81"/>
      <c r="E25" s="82"/>
      <c r="G25" s="82"/>
      <c r="I25" s="82"/>
      <c r="K25" s="82"/>
      <c r="M25" s="82"/>
      <c r="O25" s="82"/>
      <c r="Q25" s="82"/>
      <c r="S25" s="82"/>
      <c r="U25" s="82"/>
      <c r="W25" s="82"/>
      <c r="Y25" s="82"/>
      <c r="AA25" s="82"/>
      <c r="AC25" s="82"/>
      <c r="AE25" s="82"/>
      <c r="AG25" s="82"/>
      <c r="AH25" s="79">
        <f t="shared" si="1"/>
        <v>0</v>
      </c>
      <c r="AI25" s="35" t="s">
        <v>69</v>
      </c>
    </row>
    <row r="26" ht="15.75" customHeight="1">
      <c r="A26" s="67">
        <v>19.0</v>
      </c>
      <c r="B26" s="49"/>
      <c r="C26" s="81"/>
      <c r="E26" s="82"/>
      <c r="G26" s="82"/>
      <c r="I26" s="82"/>
      <c r="K26" s="82"/>
      <c r="M26" s="82"/>
      <c r="O26" s="82"/>
      <c r="Q26" s="82"/>
      <c r="S26" s="82"/>
      <c r="U26" s="82"/>
      <c r="W26" s="82"/>
      <c r="Y26" s="82"/>
      <c r="AA26" s="82"/>
      <c r="AC26" s="82"/>
      <c r="AE26" s="82"/>
      <c r="AG26" s="82"/>
      <c r="AH26" s="79">
        <f t="shared" si="1"/>
        <v>0</v>
      </c>
      <c r="AI26" s="35" t="s">
        <v>69</v>
      </c>
    </row>
    <row r="27" ht="15.75" customHeight="1">
      <c r="A27" s="67"/>
      <c r="B27" s="36">
        <v>20.0</v>
      </c>
      <c r="C27" s="133"/>
      <c r="E27" s="82"/>
      <c r="G27" s="82"/>
      <c r="I27" s="82"/>
      <c r="K27" s="82"/>
      <c r="M27" s="82"/>
      <c r="O27" s="82"/>
      <c r="Q27" s="82"/>
      <c r="S27" s="82"/>
      <c r="U27" s="82"/>
      <c r="W27" s="82"/>
      <c r="Y27" s="82"/>
      <c r="Z27" s="19">
        <v>40.0</v>
      </c>
      <c r="AA27" s="82">
        <v>15.0</v>
      </c>
      <c r="AC27" s="82"/>
      <c r="AE27" s="82"/>
      <c r="AG27" s="82"/>
      <c r="AH27" s="79">
        <f t="shared" si="1"/>
        <v>55</v>
      </c>
      <c r="AI27" s="35" t="s">
        <v>69</v>
      </c>
    </row>
    <row r="28" ht="15.75" customHeight="1">
      <c r="A28" s="135">
        <v>20.0</v>
      </c>
      <c r="B28" s="49"/>
      <c r="C28" s="133"/>
      <c r="E28" s="82"/>
      <c r="G28" s="82"/>
      <c r="I28" s="82"/>
      <c r="K28" s="82"/>
      <c r="M28" s="82"/>
      <c r="O28" s="82"/>
      <c r="Q28" s="82"/>
      <c r="S28" s="82"/>
      <c r="U28" s="82"/>
      <c r="W28" s="82"/>
      <c r="Y28" s="82"/>
      <c r="AA28" s="82"/>
      <c r="AC28" s="82"/>
      <c r="AE28" s="82"/>
      <c r="AG28" s="82"/>
      <c r="AH28" s="79">
        <f t="shared" si="1"/>
        <v>0</v>
      </c>
      <c r="AI28" s="35" t="s">
        <v>69</v>
      </c>
    </row>
    <row r="29" ht="15.75" customHeight="1">
      <c r="A29" s="67">
        <v>21.0</v>
      </c>
      <c r="B29" s="36"/>
      <c r="C29" s="81"/>
      <c r="E29" s="82"/>
      <c r="G29" s="82"/>
      <c r="I29" s="82"/>
      <c r="K29" s="82"/>
      <c r="M29" s="82"/>
      <c r="O29" s="82"/>
      <c r="Q29" s="82"/>
      <c r="S29" s="82"/>
      <c r="U29" s="82"/>
      <c r="W29" s="82"/>
      <c r="Y29" s="82"/>
      <c r="AA29" s="82"/>
      <c r="AC29" s="82"/>
      <c r="AE29" s="82"/>
      <c r="AG29" s="82"/>
      <c r="AH29" s="79">
        <f t="shared" si="1"/>
        <v>0</v>
      </c>
      <c r="AI29" s="35" t="s">
        <v>69</v>
      </c>
    </row>
    <row r="30" ht="15.75" customHeight="1">
      <c r="A30" s="67">
        <v>22.0</v>
      </c>
      <c r="B30" s="36"/>
      <c r="C30" s="81"/>
      <c r="E30" s="82"/>
      <c r="G30" s="82"/>
      <c r="I30" s="82"/>
      <c r="K30" s="82"/>
      <c r="M30" s="82"/>
      <c r="O30" s="82"/>
      <c r="Q30" s="82"/>
      <c r="S30" s="82"/>
      <c r="U30" s="82"/>
      <c r="W30" s="82"/>
      <c r="Y30" s="82"/>
      <c r="Z30" s="19">
        <v>12.0</v>
      </c>
      <c r="AA30" s="82">
        <v>2.0</v>
      </c>
      <c r="AC30" s="82"/>
      <c r="AE30" s="82"/>
      <c r="AG30" s="82"/>
      <c r="AH30" s="79">
        <f t="shared" si="1"/>
        <v>14</v>
      </c>
      <c r="AI30" s="35" t="s">
        <v>69</v>
      </c>
    </row>
    <row r="31" ht="15.75" customHeight="1">
      <c r="A31" s="67">
        <v>23.0</v>
      </c>
      <c r="B31" s="36"/>
      <c r="C31" s="81"/>
      <c r="E31" s="82"/>
      <c r="G31" s="82"/>
      <c r="I31" s="82"/>
      <c r="K31" s="82"/>
      <c r="M31" s="82"/>
      <c r="O31" s="82"/>
      <c r="Q31" s="82"/>
      <c r="S31" s="82"/>
      <c r="U31" s="82"/>
      <c r="W31" s="82"/>
      <c r="Y31" s="82"/>
      <c r="AA31" s="82"/>
      <c r="AC31" s="82"/>
      <c r="AE31" s="82"/>
      <c r="AG31" s="82"/>
      <c r="AH31" s="79">
        <f t="shared" si="1"/>
        <v>0</v>
      </c>
      <c r="AI31" s="35" t="s">
        <v>69</v>
      </c>
    </row>
    <row r="32" ht="15.75" customHeight="1">
      <c r="A32" s="67">
        <v>24.0</v>
      </c>
      <c r="B32" s="36"/>
      <c r="C32" s="81"/>
      <c r="E32" s="82"/>
      <c r="G32" s="82"/>
      <c r="I32" s="82"/>
      <c r="K32" s="82"/>
      <c r="M32" s="82"/>
      <c r="O32" s="82"/>
      <c r="Q32" s="82"/>
      <c r="S32" s="82"/>
      <c r="U32" s="82"/>
      <c r="W32" s="82"/>
      <c r="Y32" s="82"/>
      <c r="AA32" s="82"/>
      <c r="AC32" s="82"/>
      <c r="AE32" s="82"/>
      <c r="AG32" s="82"/>
      <c r="AH32" s="79">
        <f t="shared" si="1"/>
        <v>0</v>
      </c>
      <c r="AI32" s="35" t="s">
        <v>69</v>
      </c>
    </row>
    <row r="33" ht="15.75" customHeight="1">
      <c r="A33" s="67">
        <v>25.0</v>
      </c>
      <c r="B33" s="36"/>
      <c r="C33" s="81"/>
      <c r="E33" s="82"/>
      <c r="G33" s="82"/>
      <c r="I33" s="82"/>
      <c r="K33" s="82"/>
      <c r="M33" s="82"/>
      <c r="O33" s="82"/>
      <c r="Q33" s="82"/>
      <c r="S33" s="82"/>
      <c r="U33" s="82"/>
      <c r="W33" s="82"/>
      <c r="Y33" s="82"/>
      <c r="AA33" s="82"/>
      <c r="AC33" s="82"/>
      <c r="AE33" s="82"/>
      <c r="AG33" s="82"/>
      <c r="AH33" s="79">
        <f t="shared" si="1"/>
        <v>0</v>
      </c>
      <c r="AI33" s="35" t="s">
        <v>69</v>
      </c>
    </row>
    <row r="34" ht="15.75" customHeight="1">
      <c r="A34" s="67">
        <v>26.0</v>
      </c>
      <c r="B34" s="36"/>
      <c r="C34" s="81"/>
      <c r="E34" s="82"/>
      <c r="G34" s="82"/>
      <c r="I34" s="82"/>
      <c r="K34" s="82"/>
      <c r="M34" s="82"/>
      <c r="O34" s="82"/>
      <c r="Q34" s="82"/>
      <c r="S34" s="82"/>
      <c r="U34" s="82"/>
      <c r="W34" s="82"/>
      <c r="Y34" s="82"/>
      <c r="AA34" s="82"/>
      <c r="AC34" s="82"/>
      <c r="AE34" s="82"/>
      <c r="AG34" s="82"/>
      <c r="AH34" s="79">
        <f t="shared" si="1"/>
        <v>0</v>
      </c>
      <c r="AI34" s="35" t="s">
        <v>69</v>
      </c>
    </row>
    <row r="35" ht="15.75" customHeight="1">
      <c r="A35" s="67">
        <v>27.0</v>
      </c>
      <c r="B35" s="36"/>
      <c r="C35" s="81"/>
      <c r="E35" s="82"/>
      <c r="G35" s="82"/>
      <c r="I35" s="82"/>
      <c r="K35" s="82"/>
      <c r="M35" s="82"/>
      <c r="O35" s="82"/>
      <c r="Q35" s="82"/>
      <c r="S35" s="82"/>
      <c r="U35" s="82"/>
      <c r="W35" s="82"/>
      <c r="Y35" s="82"/>
      <c r="AA35" s="82"/>
      <c r="AC35" s="82"/>
      <c r="AE35" s="82"/>
      <c r="AG35" s="82"/>
      <c r="AH35" s="79">
        <f t="shared" si="1"/>
        <v>0</v>
      </c>
      <c r="AI35" s="35" t="s">
        <v>69</v>
      </c>
    </row>
    <row r="36" ht="15.75" customHeight="1">
      <c r="A36" s="67">
        <v>28.0</v>
      </c>
      <c r="B36" s="36"/>
      <c r="C36" s="81"/>
      <c r="E36" s="82"/>
      <c r="G36" s="82"/>
      <c r="I36" s="82"/>
      <c r="K36" s="82"/>
      <c r="M36" s="82"/>
      <c r="O36" s="82"/>
      <c r="Q36" s="82"/>
      <c r="S36" s="82"/>
      <c r="U36" s="82"/>
      <c r="W36" s="82"/>
      <c r="Y36" s="82"/>
      <c r="AA36" s="82"/>
      <c r="AC36" s="82"/>
      <c r="AE36" s="82"/>
      <c r="AG36" s="82"/>
      <c r="AH36" s="79">
        <f t="shared" si="1"/>
        <v>0</v>
      </c>
      <c r="AI36" s="35" t="s">
        <v>69</v>
      </c>
    </row>
    <row r="37" ht="15.75" customHeight="1">
      <c r="A37" s="67">
        <v>29.0</v>
      </c>
      <c r="B37" s="36"/>
      <c r="C37" s="81"/>
      <c r="E37" s="82"/>
      <c r="G37" s="82"/>
      <c r="I37" s="82"/>
      <c r="K37" s="82"/>
      <c r="M37" s="82"/>
      <c r="O37" s="82"/>
      <c r="Q37" s="82"/>
      <c r="S37" s="82"/>
      <c r="U37" s="82"/>
      <c r="W37" s="82"/>
      <c r="Y37" s="82"/>
      <c r="AA37" s="82"/>
      <c r="AC37" s="82"/>
      <c r="AE37" s="82"/>
      <c r="AG37" s="82"/>
      <c r="AH37" s="79">
        <f t="shared" si="1"/>
        <v>0</v>
      </c>
      <c r="AI37" s="35" t="s">
        <v>69</v>
      </c>
    </row>
    <row r="38" ht="15.75" customHeight="1">
      <c r="A38" s="67">
        <v>30.0</v>
      </c>
      <c r="B38" s="36"/>
      <c r="C38" s="81"/>
      <c r="E38" s="82"/>
      <c r="G38" s="82"/>
      <c r="I38" s="82"/>
      <c r="K38" s="82"/>
      <c r="M38" s="82"/>
      <c r="O38" s="82"/>
      <c r="Q38" s="82"/>
      <c r="S38" s="82"/>
      <c r="U38" s="82"/>
      <c r="W38" s="82"/>
      <c r="Y38" s="82"/>
      <c r="AA38" s="82"/>
      <c r="AC38" s="82"/>
      <c r="AE38" s="82"/>
      <c r="AG38" s="82"/>
      <c r="AH38" s="79">
        <f t="shared" si="1"/>
        <v>0</v>
      </c>
      <c r="AI38" s="35" t="s">
        <v>69</v>
      </c>
    </row>
    <row r="39" ht="15.75" customHeight="1">
      <c r="A39" s="67">
        <v>31.0</v>
      </c>
      <c r="B39" s="36"/>
      <c r="C39" s="81"/>
      <c r="E39" s="82"/>
      <c r="G39" s="82"/>
      <c r="I39" s="82"/>
      <c r="K39" s="82"/>
      <c r="M39" s="82"/>
      <c r="O39" s="82"/>
      <c r="Q39" s="82"/>
      <c r="S39" s="82"/>
      <c r="U39" s="82"/>
      <c r="W39" s="82"/>
      <c r="Y39" s="82"/>
      <c r="AA39" s="82"/>
      <c r="AC39" s="82"/>
      <c r="AE39" s="82"/>
      <c r="AG39" s="82"/>
      <c r="AH39" s="79">
        <f t="shared" si="1"/>
        <v>0</v>
      </c>
      <c r="AI39" s="35" t="s">
        <v>69</v>
      </c>
    </row>
    <row r="40" ht="15.75" customHeight="1">
      <c r="A40" s="67">
        <v>32.0</v>
      </c>
      <c r="B40" s="36"/>
      <c r="C40" s="81"/>
      <c r="E40" s="82"/>
      <c r="G40" s="82"/>
      <c r="I40" s="82"/>
      <c r="K40" s="82"/>
      <c r="M40" s="82"/>
      <c r="O40" s="82"/>
      <c r="Q40" s="82"/>
      <c r="S40" s="82"/>
      <c r="U40" s="82"/>
      <c r="W40" s="82"/>
      <c r="Y40" s="82"/>
      <c r="AA40" s="82"/>
      <c r="AC40" s="82"/>
      <c r="AE40" s="82"/>
      <c r="AG40" s="82"/>
      <c r="AH40" s="79">
        <f t="shared" si="1"/>
        <v>0</v>
      </c>
      <c r="AI40" s="35" t="s">
        <v>69</v>
      </c>
    </row>
    <row r="41" ht="15.75" customHeight="1">
      <c r="A41" s="67">
        <v>33.0</v>
      </c>
      <c r="B41" s="36"/>
      <c r="C41" s="81"/>
      <c r="E41" s="82"/>
      <c r="G41" s="82"/>
      <c r="I41" s="82"/>
      <c r="K41" s="82"/>
      <c r="M41" s="82"/>
      <c r="O41" s="82"/>
      <c r="Q41" s="82"/>
      <c r="S41" s="82"/>
      <c r="U41" s="82"/>
      <c r="W41" s="82"/>
      <c r="Y41" s="82"/>
      <c r="AA41" s="82"/>
      <c r="AC41" s="82"/>
      <c r="AE41" s="82"/>
      <c r="AG41" s="82"/>
      <c r="AH41" s="79">
        <f t="shared" si="1"/>
        <v>0</v>
      </c>
      <c r="AI41" s="35" t="s">
        <v>69</v>
      </c>
    </row>
    <row r="42" ht="15.75" customHeight="1">
      <c r="A42" s="67">
        <v>34.0</v>
      </c>
      <c r="B42" s="36"/>
      <c r="C42" s="81"/>
      <c r="E42" s="82"/>
      <c r="G42" s="82"/>
      <c r="I42" s="82"/>
      <c r="K42" s="82"/>
      <c r="M42" s="82"/>
      <c r="O42" s="82"/>
      <c r="Q42" s="82"/>
      <c r="S42" s="82"/>
      <c r="U42" s="82"/>
      <c r="W42" s="82"/>
      <c r="Y42" s="82"/>
      <c r="Z42" s="19">
        <v>4.0</v>
      </c>
      <c r="AA42" s="82"/>
      <c r="AC42" s="82"/>
      <c r="AE42" s="82"/>
      <c r="AG42" s="82"/>
      <c r="AH42" s="79">
        <f t="shared" si="1"/>
        <v>4</v>
      </c>
      <c r="AI42" s="35" t="s">
        <v>69</v>
      </c>
    </row>
    <row r="43" ht="15.75" customHeight="1">
      <c r="A43" s="67">
        <v>35.0</v>
      </c>
      <c r="B43" s="36"/>
      <c r="C43" s="81"/>
      <c r="E43" s="82"/>
      <c r="G43" s="82"/>
      <c r="I43" s="82"/>
      <c r="K43" s="82"/>
      <c r="M43" s="82"/>
      <c r="O43" s="82"/>
      <c r="Q43" s="82"/>
      <c r="S43" s="82"/>
      <c r="U43" s="82"/>
      <c r="W43" s="82"/>
      <c r="Y43" s="82"/>
      <c r="Z43" s="19">
        <v>15.0</v>
      </c>
      <c r="AA43" s="82"/>
      <c r="AC43" s="82"/>
      <c r="AE43" s="82"/>
      <c r="AG43" s="82"/>
      <c r="AH43" s="79">
        <f t="shared" si="1"/>
        <v>15</v>
      </c>
      <c r="AI43" s="35" t="s">
        <v>69</v>
      </c>
    </row>
    <row r="44" ht="15.75" customHeight="1">
      <c r="A44" s="67">
        <v>36.0</v>
      </c>
      <c r="B44" s="86"/>
      <c r="C44" s="81"/>
      <c r="E44" s="82"/>
      <c r="G44" s="82"/>
      <c r="I44" s="82"/>
      <c r="K44" s="82"/>
      <c r="M44" s="82"/>
      <c r="O44" s="82"/>
      <c r="Q44" s="82"/>
      <c r="S44" s="82"/>
      <c r="U44" s="82"/>
      <c r="W44" s="82"/>
      <c r="Y44" s="82"/>
      <c r="AA44" s="82"/>
      <c r="AC44" s="82"/>
      <c r="AE44" s="82"/>
      <c r="AG44" s="82"/>
      <c r="AH44" s="79">
        <f t="shared" si="1"/>
        <v>0</v>
      </c>
      <c r="AI44" s="35" t="s">
        <v>69</v>
      </c>
    </row>
    <row r="45" ht="15.75" customHeight="1">
      <c r="A45" s="67">
        <v>37.0</v>
      </c>
      <c r="B45" s="36"/>
      <c r="C45" s="81"/>
      <c r="E45" s="82"/>
      <c r="G45" s="82"/>
      <c r="I45" s="82"/>
      <c r="K45" s="82"/>
      <c r="M45" s="82"/>
      <c r="O45" s="82"/>
      <c r="Q45" s="82"/>
      <c r="S45" s="82"/>
      <c r="U45" s="82"/>
      <c r="W45" s="82"/>
      <c r="Y45" s="82"/>
      <c r="Z45" s="19">
        <v>3.0</v>
      </c>
      <c r="AA45" s="82"/>
      <c r="AC45" s="82"/>
      <c r="AE45" s="82"/>
      <c r="AG45" s="82"/>
      <c r="AH45" s="79">
        <f t="shared" si="1"/>
        <v>3</v>
      </c>
      <c r="AI45" s="35" t="s">
        <v>69</v>
      </c>
    </row>
    <row r="46" ht="15.75" customHeight="1">
      <c r="A46" s="67">
        <v>38.0</v>
      </c>
      <c r="B46" s="36"/>
      <c r="C46" s="81"/>
      <c r="E46" s="82"/>
      <c r="G46" s="82"/>
      <c r="I46" s="82"/>
      <c r="K46" s="82"/>
      <c r="M46" s="82"/>
      <c r="O46" s="82"/>
      <c r="Q46" s="82"/>
      <c r="S46" s="82"/>
      <c r="U46" s="82"/>
      <c r="W46" s="82"/>
      <c r="Y46" s="82"/>
      <c r="AA46" s="82">
        <v>4.0</v>
      </c>
      <c r="AC46" s="82"/>
      <c r="AE46" s="82"/>
      <c r="AG46" s="82"/>
      <c r="AH46" s="79">
        <f t="shared" si="1"/>
        <v>4</v>
      </c>
      <c r="AI46" s="35" t="s">
        <v>69</v>
      </c>
    </row>
    <row r="47" ht="15.75" customHeight="1">
      <c r="A47" s="67">
        <v>39.0</v>
      </c>
      <c r="B47" s="36"/>
      <c r="C47" s="81"/>
      <c r="E47" s="82"/>
      <c r="G47" s="82"/>
      <c r="I47" s="82"/>
      <c r="K47" s="82"/>
      <c r="M47" s="82"/>
      <c r="O47" s="82"/>
      <c r="Q47" s="82"/>
      <c r="S47" s="82"/>
      <c r="U47" s="82"/>
      <c r="W47" s="82"/>
      <c r="Y47" s="82"/>
      <c r="AA47" s="82"/>
      <c r="AC47" s="82"/>
      <c r="AE47" s="82"/>
      <c r="AG47" s="82"/>
      <c r="AH47" s="79">
        <f t="shared" si="1"/>
        <v>0</v>
      </c>
      <c r="AI47" s="35" t="s">
        <v>69</v>
      </c>
    </row>
    <row r="48" ht="15.75" customHeight="1">
      <c r="A48" s="67">
        <v>40.0</v>
      </c>
      <c r="B48" s="36"/>
      <c r="C48" s="81"/>
      <c r="E48" s="82"/>
      <c r="G48" s="82"/>
      <c r="I48" s="82"/>
      <c r="K48" s="82"/>
      <c r="M48" s="82"/>
      <c r="O48" s="82"/>
      <c r="Q48" s="82"/>
      <c r="S48" s="82"/>
      <c r="U48" s="82"/>
      <c r="W48" s="82"/>
      <c r="Y48" s="82"/>
      <c r="AA48" s="82"/>
      <c r="AC48" s="82"/>
      <c r="AE48" s="82"/>
      <c r="AG48" s="82"/>
      <c r="AH48" s="79">
        <f t="shared" si="1"/>
        <v>0</v>
      </c>
      <c r="AI48" s="35" t="s">
        <v>69</v>
      </c>
    </row>
    <row r="49" ht="15.75" customHeight="1">
      <c r="A49" s="67">
        <v>41.0</v>
      </c>
      <c r="B49" s="36"/>
      <c r="C49" s="81"/>
      <c r="E49" s="82"/>
      <c r="G49" s="82"/>
      <c r="I49" s="82"/>
      <c r="K49" s="82"/>
      <c r="M49" s="82"/>
      <c r="O49" s="82"/>
      <c r="Q49" s="82"/>
      <c r="S49" s="82"/>
      <c r="U49" s="82"/>
      <c r="W49" s="82"/>
      <c r="Y49" s="82"/>
      <c r="AA49" s="82"/>
      <c r="AC49" s="82"/>
      <c r="AE49" s="82"/>
      <c r="AG49" s="82"/>
      <c r="AH49" s="79">
        <f t="shared" si="1"/>
        <v>0</v>
      </c>
      <c r="AI49" s="35" t="s">
        <v>69</v>
      </c>
    </row>
    <row r="50" ht="15.75" customHeight="1">
      <c r="A50" s="67">
        <v>42.0</v>
      </c>
      <c r="B50" s="36"/>
      <c r="C50" s="81"/>
      <c r="E50" s="82"/>
      <c r="G50" s="82"/>
      <c r="I50" s="82"/>
      <c r="K50" s="82"/>
      <c r="M50" s="82"/>
      <c r="O50" s="82"/>
      <c r="Q50" s="82"/>
      <c r="S50" s="82"/>
      <c r="U50" s="82"/>
      <c r="W50" s="82"/>
      <c r="Y50" s="82"/>
      <c r="AA50" s="82"/>
      <c r="AC50" s="82"/>
      <c r="AE50" s="82"/>
      <c r="AG50" s="82"/>
      <c r="AH50" s="79">
        <f t="shared" si="1"/>
        <v>0</v>
      </c>
      <c r="AI50" s="35" t="s">
        <v>69</v>
      </c>
    </row>
    <row r="51" ht="15.75" customHeight="1">
      <c r="A51" s="67">
        <v>43.0</v>
      </c>
      <c r="B51" s="36"/>
      <c r="C51" s="81"/>
      <c r="E51" s="82"/>
      <c r="G51" s="82"/>
      <c r="I51" s="82"/>
      <c r="K51" s="82"/>
      <c r="M51" s="82"/>
      <c r="O51" s="82"/>
      <c r="Q51" s="82"/>
      <c r="S51" s="82"/>
      <c r="U51" s="82"/>
      <c r="W51" s="82"/>
      <c r="Y51" s="82"/>
      <c r="AA51" s="82"/>
      <c r="AC51" s="82"/>
      <c r="AE51" s="82"/>
      <c r="AG51" s="82"/>
      <c r="AH51" s="79">
        <f t="shared" si="1"/>
        <v>0</v>
      </c>
      <c r="AI51" s="35" t="s">
        <v>69</v>
      </c>
    </row>
    <row r="52" ht="15.75" customHeight="1">
      <c r="A52" s="67">
        <v>44.0</v>
      </c>
      <c r="B52" s="36"/>
      <c r="C52" s="81"/>
      <c r="E52" s="82"/>
      <c r="G52" s="82"/>
      <c r="I52" s="82"/>
      <c r="K52" s="82"/>
      <c r="M52" s="82"/>
      <c r="O52" s="82"/>
      <c r="Q52" s="82"/>
      <c r="S52" s="82"/>
      <c r="U52" s="82"/>
      <c r="W52" s="82"/>
      <c r="Y52" s="82"/>
      <c r="AA52" s="82"/>
      <c r="AC52" s="82"/>
      <c r="AE52" s="82"/>
      <c r="AG52" s="82"/>
      <c r="AH52" s="79">
        <f t="shared" si="1"/>
        <v>0</v>
      </c>
      <c r="AI52" s="35" t="s">
        <v>69</v>
      </c>
    </row>
    <row r="53" ht="15.75" customHeight="1">
      <c r="A53" s="67">
        <v>45.0</v>
      </c>
      <c r="B53" s="36"/>
      <c r="C53" s="81"/>
      <c r="E53" s="82"/>
      <c r="G53" s="82"/>
      <c r="I53" s="82"/>
      <c r="K53" s="82"/>
      <c r="M53" s="82"/>
      <c r="O53" s="82"/>
      <c r="Q53" s="82"/>
      <c r="S53" s="82"/>
      <c r="U53" s="82"/>
      <c r="W53" s="82"/>
      <c r="Y53" s="82"/>
      <c r="AA53" s="82"/>
      <c r="AC53" s="82"/>
      <c r="AE53" s="82"/>
      <c r="AG53" s="82"/>
      <c r="AH53" s="79">
        <f t="shared" si="1"/>
        <v>0</v>
      </c>
      <c r="AI53" s="35" t="s">
        <v>69</v>
      </c>
    </row>
    <row r="54" ht="15.75" customHeight="1">
      <c r="A54" s="67">
        <v>46.0</v>
      </c>
      <c r="B54" s="36"/>
      <c r="C54" s="81"/>
      <c r="E54" s="82"/>
      <c r="G54" s="82"/>
      <c r="I54" s="82"/>
      <c r="K54" s="82"/>
      <c r="M54" s="82"/>
      <c r="O54" s="82"/>
      <c r="Q54" s="82"/>
      <c r="S54" s="82"/>
      <c r="U54" s="82"/>
      <c r="W54" s="82"/>
      <c r="Y54" s="82"/>
      <c r="Z54" s="19">
        <v>7.0</v>
      </c>
      <c r="AA54" s="82">
        <v>2.0</v>
      </c>
      <c r="AC54" s="82"/>
      <c r="AE54" s="82"/>
      <c r="AG54" s="82"/>
      <c r="AH54" s="79">
        <f t="shared" si="1"/>
        <v>9</v>
      </c>
      <c r="AI54" s="35" t="s">
        <v>69</v>
      </c>
    </row>
    <row r="55" ht="15.75" customHeight="1">
      <c r="A55" s="67">
        <v>47.0</v>
      </c>
      <c r="B55" s="36"/>
      <c r="C55" s="81"/>
      <c r="E55" s="82"/>
      <c r="G55" s="82"/>
      <c r="I55" s="82"/>
      <c r="K55" s="82"/>
      <c r="M55" s="82"/>
      <c r="O55" s="82"/>
      <c r="Q55" s="82"/>
      <c r="S55" s="82"/>
      <c r="U55" s="82"/>
      <c r="W55" s="82"/>
      <c r="Y55" s="82"/>
      <c r="AA55" s="82"/>
      <c r="AC55" s="82"/>
      <c r="AE55" s="82"/>
      <c r="AG55" s="82"/>
      <c r="AH55" s="79">
        <f t="shared" si="1"/>
        <v>0</v>
      </c>
      <c r="AI55" s="35" t="s">
        <v>69</v>
      </c>
    </row>
    <row r="56" ht="15.75" customHeight="1">
      <c r="A56" s="67">
        <v>48.0</v>
      </c>
      <c r="B56" s="36"/>
      <c r="C56" s="81"/>
      <c r="E56" s="82"/>
      <c r="G56" s="82"/>
      <c r="I56" s="82"/>
      <c r="K56" s="82"/>
      <c r="M56" s="82"/>
      <c r="O56" s="82"/>
      <c r="Q56" s="82"/>
      <c r="S56" s="82"/>
      <c r="U56" s="82"/>
      <c r="W56" s="82"/>
      <c r="Y56" s="82"/>
      <c r="AA56" s="82"/>
      <c r="AC56" s="82"/>
      <c r="AE56" s="82"/>
      <c r="AG56" s="82"/>
      <c r="AH56" s="79">
        <f t="shared" si="1"/>
        <v>0</v>
      </c>
      <c r="AI56" s="35" t="s">
        <v>69</v>
      </c>
    </row>
    <row r="57" ht="15.75" customHeight="1">
      <c r="A57" s="67">
        <v>49.0</v>
      </c>
      <c r="B57" s="36"/>
      <c r="C57" s="81"/>
      <c r="E57" s="82"/>
      <c r="G57" s="82"/>
      <c r="I57" s="82"/>
      <c r="K57" s="82"/>
      <c r="M57" s="82"/>
      <c r="O57" s="82"/>
      <c r="Q57" s="82"/>
      <c r="S57" s="82"/>
      <c r="U57" s="82"/>
      <c r="W57" s="82"/>
      <c r="Y57" s="82"/>
      <c r="AA57" s="82"/>
      <c r="AC57" s="82"/>
      <c r="AE57" s="82"/>
      <c r="AG57" s="82"/>
      <c r="AH57" s="79">
        <f t="shared" si="1"/>
        <v>0</v>
      </c>
      <c r="AI57" s="35" t="s">
        <v>69</v>
      </c>
    </row>
    <row r="58" ht="15.75" customHeight="1">
      <c r="A58" s="67">
        <v>50.0</v>
      </c>
      <c r="B58" s="36"/>
      <c r="C58" s="81"/>
      <c r="E58" s="82"/>
      <c r="G58" s="82"/>
      <c r="I58" s="82"/>
      <c r="K58" s="82"/>
      <c r="M58" s="82"/>
      <c r="O58" s="82"/>
      <c r="Q58" s="82"/>
      <c r="S58" s="82"/>
      <c r="U58" s="82"/>
      <c r="W58" s="82"/>
      <c r="Y58" s="82"/>
      <c r="Z58" s="19">
        <v>35.0</v>
      </c>
      <c r="AA58" s="82"/>
      <c r="AC58" s="82"/>
      <c r="AE58" s="82"/>
      <c r="AG58" s="82"/>
      <c r="AH58" s="79">
        <f t="shared" si="1"/>
        <v>35</v>
      </c>
      <c r="AI58" s="35" t="s">
        <v>69</v>
      </c>
    </row>
    <row r="59" ht="15.75" customHeight="1">
      <c r="A59" s="67">
        <v>51.0</v>
      </c>
      <c r="B59" s="36"/>
      <c r="C59" s="81"/>
      <c r="E59" s="82"/>
      <c r="G59" s="82"/>
      <c r="I59" s="82"/>
      <c r="K59" s="82"/>
      <c r="M59" s="82"/>
      <c r="O59" s="82"/>
      <c r="Q59" s="82"/>
      <c r="S59" s="82"/>
      <c r="U59" s="82"/>
      <c r="W59" s="82"/>
      <c r="Y59" s="82"/>
      <c r="AA59" s="82"/>
      <c r="AC59" s="82"/>
      <c r="AE59" s="82"/>
      <c r="AG59" s="82"/>
      <c r="AH59" s="79">
        <f t="shared" si="1"/>
        <v>0</v>
      </c>
      <c r="AI59" s="35" t="s">
        <v>69</v>
      </c>
    </row>
    <row r="60" ht="15.75" customHeight="1">
      <c r="A60" s="67">
        <v>52.0</v>
      </c>
      <c r="B60" s="36"/>
      <c r="C60" s="81"/>
      <c r="E60" s="82"/>
      <c r="G60" s="82"/>
      <c r="I60" s="82"/>
      <c r="K60" s="82"/>
      <c r="M60" s="82"/>
      <c r="O60" s="82"/>
      <c r="Q60" s="82"/>
      <c r="S60" s="82"/>
      <c r="U60" s="82"/>
      <c r="W60" s="82"/>
      <c r="Y60" s="82"/>
      <c r="AA60" s="82"/>
      <c r="AC60" s="82"/>
      <c r="AE60" s="82"/>
      <c r="AG60" s="82"/>
      <c r="AH60" s="79">
        <f t="shared" si="1"/>
        <v>0</v>
      </c>
      <c r="AI60" s="35" t="s">
        <v>69</v>
      </c>
    </row>
    <row r="61" ht="15.75" customHeight="1">
      <c r="A61" s="67">
        <v>53.0</v>
      </c>
      <c r="B61" s="36"/>
      <c r="C61" s="81"/>
      <c r="E61" s="82"/>
      <c r="G61" s="82"/>
      <c r="I61" s="82"/>
      <c r="K61" s="82"/>
      <c r="M61" s="82"/>
      <c r="O61" s="82"/>
      <c r="Q61" s="82"/>
      <c r="S61" s="82"/>
      <c r="U61" s="82"/>
      <c r="W61" s="82"/>
      <c r="Y61" s="82"/>
      <c r="AA61" s="82"/>
      <c r="AC61" s="82"/>
      <c r="AE61" s="82"/>
      <c r="AG61" s="82"/>
      <c r="AH61" s="79">
        <f t="shared" si="1"/>
        <v>0</v>
      </c>
      <c r="AI61" s="35" t="s">
        <v>69</v>
      </c>
    </row>
    <row r="62" ht="15.75" customHeight="1">
      <c r="A62" s="67">
        <v>54.0</v>
      </c>
      <c r="B62" s="36"/>
      <c r="C62" s="81"/>
      <c r="E62" s="82"/>
      <c r="G62" s="82"/>
      <c r="I62" s="82"/>
      <c r="K62" s="82"/>
      <c r="M62" s="82"/>
      <c r="O62" s="82"/>
      <c r="Q62" s="82"/>
      <c r="S62" s="82"/>
      <c r="U62" s="82"/>
      <c r="W62" s="82"/>
      <c r="Y62" s="82"/>
      <c r="AA62" s="82"/>
      <c r="AC62" s="82"/>
      <c r="AE62" s="82"/>
      <c r="AG62" s="82"/>
      <c r="AH62" s="79">
        <f t="shared" si="1"/>
        <v>0</v>
      </c>
      <c r="AI62" s="35" t="s">
        <v>69</v>
      </c>
    </row>
    <row r="63" ht="15.75" customHeight="1">
      <c r="A63" s="67">
        <v>55.0</v>
      </c>
      <c r="B63" s="36"/>
      <c r="C63" s="81"/>
      <c r="E63" s="82"/>
      <c r="G63" s="82"/>
      <c r="I63" s="82"/>
      <c r="K63" s="82"/>
      <c r="M63" s="82"/>
      <c r="O63" s="82"/>
      <c r="Q63" s="82"/>
      <c r="S63" s="82"/>
      <c r="U63" s="82"/>
      <c r="W63" s="82"/>
      <c r="Y63" s="82"/>
      <c r="AA63" s="82"/>
      <c r="AC63" s="82"/>
      <c r="AE63" s="82"/>
      <c r="AG63" s="82"/>
      <c r="AH63" s="79">
        <f t="shared" si="1"/>
        <v>0</v>
      </c>
      <c r="AI63" s="35" t="s">
        <v>69</v>
      </c>
    </row>
    <row r="64" ht="15.75" customHeight="1">
      <c r="A64" s="67">
        <v>56.0</v>
      </c>
      <c r="B64" s="36"/>
      <c r="C64" s="81"/>
      <c r="E64" s="82"/>
      <c r="G64" s="82"/>
      <c r="I64" s="82"/>
      <c r="K64" s="82"/>
      <c r="M64" s="82"/>
      <c r="O64" s="82"/>
      <c r="Q64" s="82"/>
      <c r="S64" s="82"/>
      <c r="U64" s="82"/>
      <c r="W64" s="82"/>
      <c r="Y64" s="82"/>
      <c r="AA64" s="82"/>
      <c r="AC64" s="82"/>
      <c r="AE64" s="82"/>
      <c r="AG64" s="82"/>
      <c r="AH64" s="79">
        <f t="shared" si="1"/>
        <v>0</v>
      </c>
      <c r="AI64" s="35" t="s">
        <v>69</v>
      </c>
    </row>
    <row r="65" ht="15.75" customHeight="1">
      <c r="A65" s="67">
        <v>57.0</v>
      </c>
      <c r="B65" s="36"/>
      <c r="C65" s="81"/>
      <c r="E65" s="82"/>
      <c r="G65" s="82"/>
      <c r="I65" s="82"/>
      <c r="K65" s="82"/>
      <c r="M65" s="82"/>
      <c r="O65" s="82"/>
      <c r="Q65" s="82"/>
      <c r="S65" s="82"/>
      <c r="U65" s="82"/>
      <c r="W65" s="82"/>
      <c r="Y65" s="82"/>
      <c r="AA65" s="82"/>
      <c r="AC65" s="82"/>
      <c r="AE65" s="82"/>
      <c r="AG65" s="82"/>
      <c r="AH65" s="79">
        <f t="shared" si="1"/>
        <v>0</v>
      </c>
      <c r="AI65" s="35" t="s">
        <v>69</v>
      </c>
    </row>
    <row r="66" ht="15.75" customHeight="1">
      <c r="A66" s="67">
        <v>58.0</v>
      </c>
      <c r="B66" s="36"/>
      <c r="C66" s="81"/>
      <c r="E66" s="82"/>
      <c r="G66" s="82"/>
      <c r="I66" s="82"/>
      <c r="K66" s="82"/>
      <c r="M66" s="82"/>
      <c r="O66" s="82"/>
      <c r="Q66" s="82"/>
      <c r="S66" s="82"/>
      <c r="U66" s="82"/>
      <c r="W66" s="82"/>
      <c r="Y66" s="82"/>
      <c r="AA66" s="82"/>
      <c r="AC66" s="82"/>
      <c r="AE66" s="82"/>
      <c r="AG66" s="82"/>
      <c r="AH66" s="79">
        <f t="shared" si="1"/>
        <v>0</v>
      </c>
      <c r="AI66" s="35" t="s">
        <v>69</v>
      </c>
    </row>
    <row r="67" ht="15.75" customHeight="1">
      <c r="A67" s="67">
        <v>59.0</v>
      </c>
      <c r="B67" s="36"/>
      <c r="C67" s="81"/>
      <c r="E67" s="82"/>
      <c r="G67" s="82"/>
      <c r="I67" s="82"/>
      <c r="K67" s="82"/>
      <c r="M67" s="82"/>
      <c r="O67" s="82"/>
      <c r="Q67" s="82"/>
      <c r="S67" s="82"/>
      <c r="U67" s="82"/>
      <c r="W67" s="82"/>
      <c r="Y67" s="82"/>
      <c r="AA67" s="82"/>
      <c r="AC67" s="82"/>
      <c r="AE67" s="82"/>
      <c r="AG67" s="82"/>
      <c r="AH67" s="79">
        <f t="shared" si="1"/>
        <v>0</v>
      </c>
      <c r="AI67" s="35" t="s">
        <v>69</v>
      </c>
    </row>
    <row r="68" ht="15.75" customHeight="1">
      <c r="A68" s="67">
        <v>60.0</v>
      </c>
      <c r="B68" s="36"/>
      <c r="C68" s="81"/>
      <c r="E68" s="82"/>
      <c r="G68" s="82"/>
      <c r="I68" s="82"/>
      <c r="K68" s="82"/>
      <c r="M68" s="82"/>
      <c r="O68" s="82"/>
      <c r="Q68" s="82"/>
      <c r="S68" s="82"/>
      <c r="U68" s="82"/>
      <c r="W68" s="82"/>
      <c r="Y68" s="82"/>
      <c r="Z68" s="19">
        <v>2.0</v>
      </c>
      <c r="AA68" s="82"/>
      <c r="AC68" s="82"/>
      <c r="AE68" s="82"/>
      <c r="AG68" s="82"/>
      <c r="AH68" s="79">
        <f t="shared" si="1"/>
        <v>2</v>
      </c>
      <c r="AI68" s="35" t="s">
        <v>69</v>
      </c>
    </row>
    <row r="69" ht="15.75" customHeight="1">
      <c r="A69" s="67">
        <v>61.0</v>
      </c>
      <c r="B69" s="36"/>
      <c r="C69" s="81"/>
      <c r="E69" s="82"/>
      <c r="G69" s="82"/>
      <c r="I69" s="82"/>
      <c r="K69" s="82"/>
      <c r="M69" s="82"/>
      <c r="O69" s="82"/>
      <c r="Q69" s="82"/>
      <c r="S69" s="82"/>
      <c r="U69" s="82"/>
      <c r="W69" s="82"/>
      <c r="Y69" s="82"/>
      <c r="AA69" s="82"/>
      <c r="AC69" s="82"/>
      <c r="AE69" s="82"/>
      <c r="AG69" s="82"/>
      <c r="AH69" s="79">
        <f t="shared" si="1"/>
        <v>0</v>
      </c>
      <c r="AI69" s="35" t="s">
        <v>69</v>
      </c>
    </row>
    <row r="70" ht="15.75" customHeight="1">
      <c r="A70" s="67">
        <v>62.0</v>
      </c>
      <c r="B70" s="36"/>
      <c r="C70" s="81"/>
      <c r="E70" s="82"/>
      <c r="G70" s="82"/>
      <c r="I70" s="82"/>
      <c r="K70" s="82"/>
      <c r="M70" s="82"/>
      <c r="O70" s="82"/>
      <c r="Q70" s="82"/>
      <c r="S70" s="82"/>
      <c r="U70" s="82"/>
      <c r="W70" s="82"/>
      <c r="Y70" s="82"/>
      <c r="AA70" s="82"/>
      <c r="AC70" s="82"/>
      <c r="AE70" s="82"/>
      <c r="AG70" s="82"/>
      <c r="AH70" s="79">
        <f t="shared" si="1"/>
        <v>0</v>
      </c>
      <c r="AI70" s="35" t="s">
        <v>69</v>
      </c>
    </row>
    <row r="71" ht="15.75" customHeight="1">
      <c r="A71" s="67">
        <v>63.0</v>
      </c>
      <c r="B71" s="36"/>
      <c r="C71" s="81"/>
      <c r="E71" s="82"/>
      <c r="G71" s="82"/>
      <c r="I71" s="82"/>
      <c r="K71" s="82"/>
      <c r="M71" s="82"/>
      <c r="O71" s="82"/>
      <c r="Q71" s="82"/>
      <c r="S71" s="82"/>
      <c r="U71" s="82"/>
      <c r="W71" s="82"/>
      <c r="Y71" s="82"/>
      <c r="Z71" s="19">
        <v>7.0</v>
      </c>
      <c r="AA71" s="82">
        <v>12.0</v>
      </c>
      <c r="AC71" s="82"/>
      <c r="AE71" s="82"/>
      <c r="AG71" s="82"/>
      <c r="AH71" s="79">
        <f t="shared" si="1"/>
        <v>19</v>
      </c>
      <c r="AI71" s="35" t="s">
        <v>69</v>
      </c>
    </row>
    <row r="72" ht="15.75" customHeight="1">
      <c r="A72" s="67">
        <v>64.0</v>
      </c>
      <c r="B72" s="36"/>
      <c r="C72" s="81"/>
      <c r="E72" s="82"/>
      <c r="G72" s="82"/>
      <c r="I72" s="82"/>
      <c r="K72" s="82"/>
      <c r="M72" s="82"/>
      <c r="O72" s="82"/>
      <c r="Q72" s="82"/>
      <c r="S72" s="82"/>
      <c r="U72" s="82"/>
      <c r="W72" s="82"/>
      <c r="Y72" s="82"/>
      <c r="AA72" s="82"/>
      <c r="AC72" s="82"/>
      <c r="AE72" s="82"/>
      <c r="AG72" s="82"/>
      <c r="AH72" s="79">
        <f t="shared" si="1"/>
        <v>0</v>
      </c>
      <c r="AI72" s="35" t="s">
        <v>69</v>
      </c>
    </row>
    <row r="73" ht="15.75" customHeight="1">
      <c r="A73" s="67">
        <v>65.0</v>
      </c>
      <c r="B73" s="36"/>
      <c r="C73" s="81"/>
      <c r="E73" s="82"/>
      <c r="G73" s="82"/>
      <c r="I73" s="82"/>
      <c r="K73" s="82"/>
      <c r="M73" s="82"/>
      <c r="O73" s="82"/>
      <c r="Q73" s="82"/>
      <c r="S73" s="82"/>
      <c r="U73" s="82"/>
      <c r="W73" s="82"/>
      <c r="Y73" s="82"/>
      <c r="AA73" s="82"/>
      <c r="AC73" s="82"/>
      <c r="AE73" s="82"/>
      <c r="AG73" s="82"/>
      <c r="AH73" s="79">
        <f t="shared" si="1"/>
        <v>0</v>
      </c>
      <c r="AI73" s="35" t="s">
        <v>69</v>
      </c>
    </row>
    <row r="74" ht="15.75" customHeight="1">
      <c r="A74" s="67">
        <v>66.0</v>
      </c>
      <c r="B74" s="36"/>
      <c r="C74" s="81"/>
      <c r="E74" s="82"/>
      <c r="G74" s="82"/>
      <c r="I74" s="82"/>
      <c r="K74" s="82"/>
      <c r="M74" s="82"/>
      <c r="O74" s="82"/>
      <c r="Q74" s="82"/>
      <c r="S74" s="82"/>
      <c r="U74" s="82"/>
      <c r="W74" s="82"/>
      <c r="Y74" s="82"/>
      <c r="AA74" s="82"/>
      <c r="AC74" s="82"/>
      <c r="AE74" s="82"/>
      <c r="AG74" s="82"/>
      <c r="AH74" s="79">
        <f t="shared" si="1"/>
        <v>0</v>
      </c>
      <c r="AI74" s="35" t="s">
        <v>69</v>
      </c>
    </row>
    <row r="75" ht="15.75" customHeight="1">
      <c r="A75" s="67">
        <v>67.0</v>
      </c>
      <c r="B75" s="36"/>
      <c r="C75" s="81"/>
      <c r="E75" s="82"/>
      <c r="G75" s="82"/>
      <c r="I75" s="82"/>
      <c r="K75" s="82"/>
      <c r="M75" s="82"/>
      <c r="O75" s="82"/>
      <c r="Q75" s="82"/>
      <c r="S75" s="82"/>
      <c r="U75" s="82"/>
      <c r="W75" s="82"/>
      <c r="Y75" s="82"/>
      <c r="Z75" s="19">
        <v>5.0</v>
      </c>
      <c r="AA75" s="82"/>
      <c r="AC75" s="82"/>
      <c r="AE75" s="82"/>
      <c r="AG75" s="82"/>
      <c r="AH75" s="79">
        <f t="shared" si="1"/>
        <v>5</v>
      </c>
      <c r="AI75" s="35" t="s">
        <v>69</v>
      </c>
    </row>
    <row r="76" ht="15.75" customHeight="1">
      <c r="A76" s="67">
        <v>68.0</v>
      </c>
      <c r="B76" s="36"/>
      <c r="C76" s="81"/>
      <c r="E76" s="82"/>
      <c r="G76" s="82"/>
      <c r="I76" s="82"/>
      <c r="K76" s="82"/>
      <c r="M76" s="82"/>
      <c r="O76" s="82"/>
      <c r="Q76" s="82"/>
      <c r="S76" s="82"/>
      <c r="U76" s="82"/>
      <c r="W76" s="82"/>
      <c r="Y76" s="82"/>
      <c r="AA76" s="82"/>
      <c r="AC76" s="82"/>
      <c r="AE76" s="82"/>
      <c r="AG76" s="82"/>
      <c r="AH76" s="79">
        <f t="shared" si="1"/>
        <v>0</v>
      </c>
      <c r="AI76" s="35" t="s">
        <v>69</v>
      </c>
    </row>
    <row r="77" ht="15.75" customHeight="1">
      <c r="A77" s="67">
        <v>70.0</v>
      </c>
      <c r="B77" s="36"/>
      <c r="C77" s="81"/>
      <c r="E77" s="82"/>
      <c r="G77" s="82"/>
      <c r="I77" s="82"/>
      <c r="K77" s="82"/>
      <c r="M77" s="82"/>
      <c r="O77" s="82"/>
      <c r="Q77" s="82"/>
      <c r="S77" s="82"/>
      <c r="U77" s="82"/>
      <c r="W77" s="82"/>
      <c r="Y77" s="82"/>
      <c r="AA77" s="82"/>
      <c r="AC77" s="82"/>
      <c r="AE77" s="82"/>
      <c r="AG77" s="82"/>
      <c r="AH77" s="79">
        <f t="shared" si="1"/>
        <v>0</v>
      </c>
      <c r="AI77" s="35" t="s">
        <v>69</v>
      </c>
    </row>
    <row r="78" ht="15.75" customHeight="1">
      <c r="A78" s="67">
        <v>71.0</v>
      </c>
      <c r="B78" s="36"/>
      <c r="C78" s="81"/>
      <c r="E78" s="82"/>
      <c r="G78" s="82"/>
      <c r="I78" s="82"/>
      <c r="K78" s="82"/>
      <c r="M78" s="82"/>
      <c r="O78" s="82"/>
      <c r="Q78" s="82"/>
      <c r="S78" s="82"/>
      <c r="U78" s="82"/>
      <c r="W78" s="82"/>
      <c r="Y78" s="82"/>
      <c r="AA78" s="82">
        <v>5.0</v>
      </c>
      <c r="AC78" s="82"/>
      <c r="AE78" s="82"/>
      <c r="AG78" s="82"/>
      <c r="AH78" s="79">
        <f t="shared" si="1"/>
        <v>5</v>
      </c>
      <c r="AI78" s="35" t="s">
        <v>69</v>
      </c>
    </row>
    <row r="79" ht="15.75" customHeight="1">
      <c r="A79" s="67">
        <v>72.0</v>
      </c>
      <c r="B79" s="36"/>
      <c r="C79" s="81"/>
      <c r="E79" s="82"/>
      <c r="G79" s="82"/>
      <c r="I79" s="82"/>
      <c r="K79" s="82"/>
      <c r="M79" s="82"/>
      <c r="O79" s="82"/>
      <c r="Q79" s="82"/>
      <c r="S79" s="82"/>
      <c r="U79" s="82"/>
      <c r="W79" s="82"/>
      <c r="Y79" s="82"/>
      <c r="Z79" s="19">
        <v>10.0</v>
      </c>
      <c r="AA79" s="82">
        <v>5.0</v>
      </c>
      <c r="AC79" s="82"/>
      <c r="AE79" s="82"/>
      <c r="AG79" s="82"/>
      <c r="AH79" s="79">
        <f t="shared" si="1"/>
        <v>15</v>
      </c>
      <c r="AI79" s="35" t="s">
        <v>69</v>
      </c>
    </row>
    <row r="80" ht="15.75" customHeight="1">
      <c r="A80" s="67">
        <v>73.0</v>
      </c>
      <c r="B80" s="36"/>
      <c r="C80" s="81"/>
      <c r="E80" s="82"/>
      <c r="G80" s="82"/>
      <c r="I80" s="82"/>
      <c r="K80" s="82"/>
      <c r="M80" s="82"/>
      <c r="O80" s="82"/>
      <c r="Q80" s="82"/>
      <c r="S80" s="82"/>
      <c r="U80" s="82"/>
      <c r="W80" s="82"/>
      <c r="Y80" s="82"/>
      <c r="Z80" s="19">
        <v>10.0</v>
      </c>
      <c r="AA80" s="82"/>
      <c r="AC80" s="82"/>
      <c r="AE80" s="82"/>
      <c r="AG80" s="82"/>
      <c r="AH80" s="79">
        <f t="shared" si="1"/>
        <v>10</v>
      </c>
      <c r="AI80" s="35" t="s">
        <v>69</v>
      </c>
    </row>
    <row r="81" ht="15.75" customHeight="1">
      <c r="A81" s="67">
        <v>74.0</v>
      </c>
      <c r="B81" s="36"/>
      <c r="C81" s="81"/>
      <c r="E81" s="82"/>
      <c r="G81" s="82"/>
      <c r="I81" s="82"/>
      <c r="K81" s="82"/>
      <c r="M81" s="82"/>
      <c r="O81" s="82"/>
      <c r="Q81" s="82"/>
      <c r="S81" s="82"/>
      <c r="U81" s="82"/>
      <c r="W81" s="82"/>
      <c r="Y81" s="82"/>
      <c r="AA81" s="82"/>
      <c r="AC81" s="82"/>
      <c r="AE81" s="82"/>
      <c r="AG81" s="82"/>
      <c r="AH81" s="79">
        <f t="shared" si="1"/>
        <v>0</v>
      </c>
      <c r="AI81" s="35" t="s">
        <v>69</v>
      </c>
    </row>
    <row r="82" ht="15.75" customHeight="1">
      <c r="A82" s="67">
        <v>75.0</v>
      </c>
      <c r="B82" s="36"/>
      <c r="C82" s="81"/>
      <c r="E82" s="82"/>
      <c r="G82" s="82"/>
      <c r="I82" s="82"/>
      <c r="K82" s="82"/>
      <c r="M82" s="82"/>
      <c r="O82" s="82"/>
      <c r="Q82" s="82"/>
      <c r="S82" s="82"/>
      <c r="U82" s="82"/>
      <c r="W82" s="82"/>
      <c r="Y82" s="82"/>
      <c r="AA82" s="82"/>
      <c r="AC82" s="82"/>
      <c r="AE82" s="82"/>
      <c r="AG82" s="82"/>
      <c r="AH82" s="79">
        <f t="shared" si="1"/>
        <v>0</v>
      </c>
      <c r="AI82" s="35" t="s">
        <v>69</v>
      </c>
    </row>
    <row r="83" ht="15.75" customHeight="1">
      <c r="A83" s="67">
        <v>76.0</v>
      </c>
      <c r="B83" s="36"/>
      <c r="C83" s="81"/>
      <c r="E83" s="82"/>
      <c r="G83" s="82"/>
      <c r="I83" s="82"/>
      <c r="K83" s="82"/>
      <c r="M83" s="82"/>
      <c r="O83" s="82"/>
      <c r="Q83" s="82"/>
      <c r="S83" s="82"/>
      <c r="U83" s="82"/>
      <c r="W83" s="82"/>
      <c r="Y83" s="82"/>
      <c r="Z83" s="19">
        <v>7.0</v>
      </c>
      <c r="AA83" s="82">
        <v>50.0</v>
      </c>
      <c r="AC83" s="82"/>
      <c r="AE83" s="82"/>
      <c r="AG83" s="82"/>
      <c r="AH83" s="79">
        <f t="shared" si="1"/>
        <v>57</v>
      </c>
      <c r="AI83" s="35" t="s">
        <v>69</v>
      </c>
    </row>
    <row r="84" ht="15.75" customHeight="1">
      <c r="A84" s="67">
        <v>77.0</v>
      </c>
      <c r="B84" s="36"/>
      <c r="C84" s="81"/>
      <c r="E84" s="82"/>
      <c r="G84" s="82"/>
      <c r="I84" s="82"/>
      <c r="K84" s="82"/>
      <c r="M84" s="82"/>
      <c r="O84" s="82"/>
      <c r="Q84" s="82"/>
      <c r="S84" s="82"/>
      <c r="U84" s="82"/>
      <c r="W84" s="82"/>
      <c r="Y84" s="82"/>
      <c r="AA84" s="82"/>
      <c r="AC84" s="82"/>
      <c r="AE84" s="82"/>
      <c r="AG84" s="82"/>
      <c r="AH84" s="79">
        <f t="shared" si="1"/>
        <v>0</v>
      </c>
      <c r="AI84" s="35" t="s">
        <v>69</v>
      </c>
    </row>
    <row r="85" ht="15.75" customHeight="1">
      <c r="A85" s="67">
        <v>78.0</v>
      </c>
      <c r="B85" s="36"/>
      <c r="C85" s="81"/>
      <c r="E85" s="82"/>
      <c r="G85" s="82"/>
      <c r="I85" s="82"/>
      <c r="K85" s="82"/>
      <c r="M85" s="82"/>
      <c r="O85" s="82"/>
      <c r="Q85" s="82"/>
      <c r="S85" s="82"/>
      <c r="U85" s="82"/>
      <c r="W85" s="82"/>
      <c r="Y85" s="82"/>
      <c r="AA85" s="82"/>
      <c r="AC85" s="82"/>
      <c r="AE85" s="82"/>
      <c r="AG85" s="82"/>
      <c r="AH85" s="79">
        <f t="shared" si="1"/>
        <v>0</v>
      </c>
      <c r="AI85" s="35" t="s">
        <v>69</v>
      </c>
    </row>
    <row r="86" ht="15.75" customHeight="1">
      <c r="A86" s="67">
        <v>79.0</v>
      </c>
      <c r="B86" s="36"/>
      <c r="C86" s="81"/>
      <c r="E86" s="82"/>
      <c r="G86" s="82"/>
      <c r="I86" s="82"/>
      <c r="K86" s="82"/>
      <c r="M86" s="82"/>
      <c r="O86" s="82"/>
      <c r="Q86" s="82"/>
      <c r="S86" s="82"/>
      <c r="U86" s="82"/>
      <c r="W86" s="82"/>
      <c r="Y86" s="82"/>
      <c r="AA86" s="82"/>
      <c r="AC86" s="82"/>
      <c r="AE86" s="82"/>
      <c r="AG86" s="82"/>
      <c r="AH86" s="79">
        <f t="shared" si="1"/>
        <v>0</v>
      </c>
      <c r="AI86" s="35" t="s">
        <v>69</v>
      </c>
    </row>
    <row r="87" ht="15.75" customHeight="1">
      <c r="A87" s="67">
        <v>80.0</v>
      </c>
      <c r="B87" s="36"/>
      <c r="C87" s="81"/>
      <c r="E87" s="82"/>
      <c r="G87" s="82"/>
      <c r="I87" s="82"/>
      <c r="K87" s="82"/>
      <c r="M87" s="82"/>
      <c r="O87" s="82"/>
      <c r="Q87" s="82"/>
      <c r="S87" s="82"/>
      <c r="U87" s="82"/>
      <c r="W87" s="82"/>
      <c r="Y87" s="82"/>
      <c r="AA87" s="82"/>
      <c r="AC87" s="82"/>
      <c r="AE87" s="82"/>
      <c r="AG87" s="82"/>
      <c r="AH87" s="79">
        <f t="shared" si="1"/>
        <v>0</v>
      </c>
      <c r="AI87" s="35" t="s">
        <v>69</v>
      </c>
    </row>
    <row r="88" ht="15.75" customHeight="1">
      <c r="A88" s="67">
        <v>81.0</v>
      </c>
      <c r="B88" s="36"/>
      <c r="C88" s="81"/>
      <c r="E88" s="82"/>
      <c r="G88" s="82"/>
      <c r="I88" s="82"/>
      <c r="K88" s="82"/>
      <c r="M88" s="82"/>
      <c r="O88" s="82"/>
      <c r="Q88" s="82"/>
      <c r="S88" s="82"/>
      <c r="U88" s="82"/>
      <c r="W88" s="82"/>
      <c r="Y88" s="82"/>
      <c r="AA88" s="82"/>
      <c r="AC88" s="82"/>
      <c r="AE88" s="82"/>
      <c r="AG88" s="82"/>
      <c r="AH88" s="79">
        <f t="shared" si="1"/>
        <v>0</v>
      </c>
      <c r="AI88" s="35" t="s">
        <v>69</v>
      </c>
    </row>
    <row r="89" ht="15.75" customHeight="1">
      <c r="A89" s="67">
        <v>82.0</v>
      </c>
      <c r="B89" s="36"/>
      <c r="C89" s="81"/>
      <c r="E89" s="82"/>
      <c r="G89" s="82"/>
      <c r="I89" s="82"/>
      <c r="K89" s="82"/>
      <c r="M89" s="82"/>
      <c r="O89" s="82"/>
      <c r="Q89" s="82"/>
      <c r="S89" s="82"/>
      <c r="U89" s="82"/>
      <c r="W89" s="82"/>
      <c r="Y89" s="82"/>
      <c r="AA89" s="82"/>
      <c r="AC89" s="82"/>
      <c r="AE89" s="82"/>
      <c r="AG89" s="82"/>
      <c r="AH89" s="79">
        <f t="shared" si="1"/>
        <v>0</v>
      </c>
      <c r="AI89" s="35" t="s">
        <v>69</v>
      </c>
    </row>
    <row r="90" ht="15.75" customHeight="1">
      <c r="A90" s="135"/>
      <c r="B90" s="49"/>
      <c r="C90" s="133"/>
      <c r="E90" s="82"/>
      <c r="G90" s="82"/>
      <c r="I90" s="82"/>
      <c r="K90" s="82"/>
      <c r="M90" s="82"/>
      <c r="O90" s="82"/>
      <c r="Q90" s="82"/>
      <c r="S90" s="82"/>
      <c r="U90" s="82"/>
      <c r="W90" s="82"/>
      <c r="Y90" s="82"/>
      <c r="AA90" s="82"/>
      <c r="AC90" s="82"/>
      <c r="AE90" s="82"/>
      <c r="AG90" s="82"/>
      <c r="AH90" s="79">
        <f t="shared" si="1"/>
        <v>0</v>
      </c>
      <c r="AI90" s="35" t="s">
        <v>69</v>
      </c>
    </row>
    <row r="91" ht="15.75" customHeight="1">
      <c r="A91" s="135"/>
      <c r="B91" s="49"/>
      <c r="C91" s="133"/>
      <c r="E91" s="82"/>
      <c r="G91" s="82"/>
      <c r="I91" s="82"/>
      <c r="K91" s="82"/>
      <c r="M91" s="82"/>
      <c r="O91" s="82"/>
      <c r="Q91" s="82"/>
      <c r="S91" s="82"/>
      <c r="U91" s="82"/>
      <c r="W91" s="82"/>
      <c r="Y91" s="82"/>
      <c r="AA91" s="82"/>
      <c r="AC91" s="82"/>
      <c r="AE91" s="82"/>
      <c r="AG91" s="82"/>
      <c r="AH91" s="79">
        <f t="shared" si="1"/>
        <v>0</v>
      </c>
      <c r="AI91" s="35" t="s">
        <v>69</v>
      </c>
    </row>
    <row r="92" ht="15.75" customHeight="1">
      <c r="A92" s="135"/>
      <c r="B92" s="49"/>
      <c r="C92" s="133"/>
      <c r="E92" s="82"/>
      <c r="G92" s="82"/>
      <c r="I92" s="82"/>
      <c r="K92" s="82"/>
      <c r="M92" s="82"/>
      <c r="O92" s="82"/>
      <c r="Q92" s="82"/>
      <c r="S92" s="82"/>
      <c r="U92" s="82"/>
      <c r="W92" s="82"/>
      <c r="Y92" s="82"/>
      <c r="AA92" s="82"/>
      <c r="AC92" s="82"/>
      <c r="AE92" s="82"/>
      <c r="AG92" s="82"/>
      <c r="AH92" s="79">
        <f t="shared" si="1"/>
        <v>0</v>
      </c>
      <c r="AI92" s="35" t="s">
        <v>69</v>
      </c>
    </row>
    <row r="93" ht="15.75" customHeight="1">
      <c r="A93" s="135"/>
      <c r="B93" s="49"/>
      <c r="C93" s="133"/>
      <c r="E93" s="82"/>
      <c r="G93" s="82"/>
      <c r="I93" s="82"/>
      <c r="K93" s="82"/>
      <c r="M93" s="82"/>
      <c r="O93" s="82"/>
      <c r="Q93" s="82"/>
      <c r="S93" s="82"/>
      <c r="U93" s="82"/>
      <c r="W93" s="82"/>
      <c r="Y93" s="82"/>
      <c r="AA93" s="82"/>
      <c r="AC93" s="82"/>
      <c r="AE93" s="82"/>
      <c r="AG93" s="82"/>
      <c r="AH93" s="79">
        <f t="shared" si="1"/>
        <v>0</v>
      </c>
      <c r="AI93" s="35" t="s">
        <v>69</v>
      </c>
    </row>
    <row r="94" ht="15.75" customHeight="1">
      <c r="A94" s="135"/>
      <c r="B94" s="49"/>
      <c r="C94" s="133"/>
      <c r="E94" s="82"/>
      <c r="G94" s="82"/>
      <c r="I94" s="82"/>
      <c r="K94" s="82"/>
      <c r="M94" s="82"/>
      <c r="O94" s="82"/>
      <c r="Q94" s="82"/>
      <c r="S94" s="82"/>
      <c r="U94" s="82"/>
      <c r="W94" s="82"/>
      <c r="Y94" s="82"/>
      <c r="AA94" s="82"/>
      <c r="AC94" s="82"/>
      <c r="AE94" s="82"/>
      <c r="AG94" s="82"/>
      <c r="AH94" s="79">
        <f t="shared" si="1"/>
        <v>0</v>
      </c>
      <c r="AI94" s="35" t="s">
        <v>69</v>
      </c>
    </row>
    <row r="95" ht="15.75" customHeight="1">
      <c r="A95" s="252"/>
      <c r="C95" s="82"/>
      <c r="E95" s="82"/>
      <c r="G95" s="82"/>
      <c r="I95" s="82"/>
      <c r="K95" s="82"/>
      <c r="M95" s="82"/>
      <c r="O95" s="82"/>
      <c r="Q95" s="82"/>
      <c r="S95" s="82"/>
      <c r="U95" s="82"/>
      <c r="W95" s="82"/>
      <c r="Y95" s="82"/>
      <c r="AA95" s="82"/>
      <c r="AC95" s="82"/>
      <c r="AE95" s="82"/>
      <c r="AG95" s="82"/>
      <c r="AH95" s="79">
        <f t="shared" si="1"/>
        <v>0</v>
      </c>
      <c r="AI95" s="35" t="s">
        <v>69</v>
      </c>
    </row>
    <row r="96" ht="15.75" customHeight="1">
      <c r="A96" s="253"/>
      <c r="AH96" s="79"/>
    </row>
    <row r="97" ht="15.75" customHeight="1">
      <c r="A97" s="254" t="s">
        <v>331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9"/>
      <c r="AH97" s="79"/>
    </row>
    <row r="98" ht="15.75" customHeight="1"/>
    <row r="99" ht="15.75" customHeight="1">
      <c r="A99" s="255" t="s">
        <v>25</v>
      </c>
      <c r="B99" s="256"/>
      <c r="C99" s="41">
        <v>1.0</v>
      </c>
      <c r="D99" s="35">
        <v>2.0</v>
      </c>
      <c r="E99" s="41">
        <v>3.0</v>
      </c>
      <c r="F99" s="35">
        <v>4.0</v>
      </c>
      <c r="G99" s="41">
        <v>5.0</v>
      </c>
      <c r="H99" s="35">
        <v>6.0</v>
      </c>
      <c r="I99" s="41">
        <v>7.0</v>
      </c>
      <c r="J99" s="35">
        <v>8.0</v>
      </c>
      <c r="K99" s="41">
        <v>9.0</v>
      </c>
      <c r="L99" s="35">
        <v>10.0</v>
      </c>
      <c r="M99" s="41">
        <v>11.0</v>
      </c>
      <c r="N99" s="35">
        <v>12.0</v>
      </c>
      <c r="O99" s="41">
        <v>13.0</v>
      </c>
      <c r="P99" s="35">
        <v>14.0</v>
      </c>
      <c r="Q99" s="41">
        <v>15.0</v>
      </c>
      <c r="R99" s="35">
        <v>16.0</v>
      </c>
      <c r="S99" s="41">
        <v>17.0</v>
      </c>
      <c r="T99" s="35">
        <v>18.0</v>
      </c>
      <c r="U99" s="41">
        <v>19.0</v>
      </c>
      <c r="V99" s="35">
        <v>20.0</v>
      </c>
      <c r="W99" s="41">
        <v>21.0</v>
      </c>
      <c r="X99" s="35">
        <v>22.0</v>
      </c>
      <c r="Y99" s="41">
        <v>23.0</v>
      </c>
      <c r="Z99" s="35">
        <v>24.0</v>
      </c>
      <c r="AA99" s="41">
        <v>25.0</v>
      </c>
      <c r="AB99" s="35">
        <v>26.0</v>
      </c>
      <c r="AC99" s="41">
        <v>27.0</v>
      </c>
      <c r="AD99" s="35">
        <v>28.0</v>
      </c>
      <c r="AE99" s="41">
        <v>29.0</v>
      </c>
      <c r="AF99" s="35">
        <v>30.0</v>
      </c>
      <c r="AG99" s="41">
        <v>31.0</v>
      </c>
      <c r="AH99" s="48" t="s">
        <v>291</v>
      </c>
    </row>
    <row r="100" ht="15.75" customHeight="1">
      <c r="A100" s="257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9"/>
    </row>
    <row r="101" ht="15.75" customHeight="1">
      <c r="A101" s="67">
        <v>1.0</v>
      </c>
      <c r="B101" s="258"/>
      <c r="C101" s="259"/>
      <c r="E101" s="82"/>
      <c r="G101" s="82"/>
      <c r="I101" s="82"/>
      <c r="K101" s="82"/>
      <c r="M101" s="82"/>
      <c r="O101" s="82"/>
      <c r="Q101" s="82"/>
      <c r="S101" s="82"/>
      <c r="U101" s="82"/>
      <c r="W101" s="82"/>
      <c r="Y101" s="82"/>
      <c r="AA101" s="82"/>
      <c r="AC101" s="82"/>
      <c r="AE101" s="82"/>
      <c r="AG101" s="82"/>
      <c r="AH101" s="48">
        <f t="shared" ref="AH101:AH124" si="2">SUM(C101:AG101)</f>
        <v>0</v>
      </c>
      <c r="AI101" s="19" t="s">
        <v>69</v>
      </c>
    </row>
    <row r="102" ht="15.75" customHeight="1">
      <c r="A102" s="67">
        <v>2.0</v>
      </c>
      <c r="B102" s="258"/>
      <c r="C102" s="259"/>
      <c r="E102" s="82"/>
      <c r="G102" s="82"/>
      <c r="I102" s="82"/>
      <c r="K102" s="82"/>
      <c r="M102" s="82"/>
      <c r="O102" s="82"/>
      <c r="Q102" s="82"/>
      <c r="S102" s="82"/>
      <c r="U102" s="82"/>
      <c r="W102" s="82"/>
      <c r="Y102" s="82"/>
      <c r="AA102" s="82"/>
      <c r="AC102" s="82"/>
      <c r="AE102" s="82"/>
      <c r="AG102" s="82"/>
      <c r="AH102" s="48">
        <f t="shared" si="2"/>
        <v>0</v>
      </c>
      <c r="AI102" s="19" t="s">
        <v>69</v>
      </c>
    </row>
    <row r="103" ht="15.75" customHeight="1">
      <c r="A103" s="67">
        <v>3.0</v>
      </c>
      <c r="B103" s="258"/>
      <c r="C103" s="259"/>
      <c r="E103" s="82"/>
      <c r="G103" s="82"/>
      <c r="I103" s="82"/>
      <c r="K103" s="82"/>
      <c r="M103" s="82"/>
      <c r="O103" s="82"/>
      <c r="Q103" s="82"/>
      <c r="S103" s="82"/>
      <c r="U103" s="82"/>
      <c r="W103" s="82"/>
      <c r="Y103" s="82"/>
      <c r="Z103" s="19">
        <v>34.0</v>
      </c>
      <c r="AA103" s="82"/>
      <c r="AC103" s="82"/>
      <c r="AE103" s="82"/>
      <c r="AG103" s="82"/>
      <c r="AH103" s="48">
        <f t="shared" si="2"/>
        <v>34</v>
      </c>
      <c r="AI103" s="19" t="s">
        <v>69</v>
      </c>
    </row>
    <row r="104" ht="15.75" customHeight="1">
      <c r="A104" s="67">
        <v>4.0</v>
      </c>
      <c r="B104" s="260"/>
      <c r="C104" s="259"/>
      <c r="E104" s="82"/>
      <c r="G104" s="82"/>
      <c r="I104" s="82"/>
      <c r="K104" s="82"/>
      <c r="M104" s="82"/>
      <c r="O104" s="82"/>
      <c r="Q104" s="82"/>
      <c r="S104" s="82"/>
      <c r="U104" s="82"/>
      <c r="W104" s="82"/>
      <c r="Y104" s="82"/>
      <c r="AA104" s="82"/>
      <c r="AC104" s="82"/>
      <c r="AE104" s="82"/>
      <c r="AG104" s="82"/>
      <c r="AH104" s="48">
        <f t="shared" si="2"/>
        <v>0</v>
      </c>
      <c r="AI104" s="19" t="s">
        <v>69</v>
      </c>
    </row>
    <row r="105" ht="15.75" customHeight="1">
      <c r="A105" s="67">
        <v>5.0</v>
      </c>
      <c r="B105" s="258"/>
      <c r="C105" s="259"/>
      <c r="E105" s="82"/>
      <c r="G105" s="82"/>
      <c r="I105" s="82"/>
      <c r="K105" s="82"/>
      <c r="M105" s="82"/>
      <c r="O105" s="82"/>
      <c r="Q105" s="82"/>
      <c r="S105" s="82"/>
      <c r="U105" s="82"/>
      <c r="W105" s="82"/>
      <c r="Y105" s="82"/>
      <c r="AA105" s="82"/>
      <c r="AC105" s="82"/>
      <c r="AE105" s="82"/>
      <c r="AG105" s="82"/>
      <c r="AH105" s="48">
        <f t="shared" si="2"/>
        <v>0</v>
      </c>
      <c r="AI105" s="19" t="s">
        <v>69</v>
      </c>
    </row>
    <row r="106" ht="15.75" customHeight="1">
      <c r="A106" s="67">
        <v>6.0</v>
      </c>
      <c r="B106" s="36"/>
      <c r="C106" s="259"/>
      <c r="E106" s="82"/>
      <c r="G106" s="82"/>
      <c r="I106" s="82"/>
      <c r="K106" s="82"/>
      <c r="M106" s="82"/>
      <c r="O106" s="82"/>
      <c r="Q106" s="82"/>
      <c r="S106" s="82"/>
      <c r="U106" s="82"/>
      <c r="W106" s="82"/>
      <c r="Y106" s="82"/>
      <c r="AA106" s="82"/>
      <c r="AC106" s="82"/>
      <c r="AE106" s="82"/>
      <c r="AG106" s="82"/>
      <c r="AH106" s="48">
        <f t="shared" si="2"/>
        <v>0</v>
      </c>
      <c r="AI106" s="19" t="s">
        <v>69</v>
      </c>
    </row>
    <row r="107" ht="15.75" customHeight="1">
      <c r="A107" s="67">
        <v>7.0</v>
      </c>
      <c r="B107" s="258"/>
      <c r="C107" s="259"/>
      <c r="E107" s="82"/>
      <c r="G107" s="82"/>
      <c r="I107" s="82"/>
      <c r="K107" s="82"/>
      <c r="M107" s="82"/>
      <c r="O107" s="82"/>
      <c r="Q107" s="82"/>
      <c r="S107" s="82"/>
      <c r="U107" s="82"/>
      <c r="W107" s="82"/>
      <c r="Y107" s="82"/>
      <c r="AA107" s="82"/>
      <c r="AC107" s="82"/>
      <c r="AE107" s="82"/>
      <c r="AG107" s="82"/>
      <c r="AH107" s="48">
        <f t="shared" si="2"/>
        <v>0</v>
      </c>
      <c r="AI107" s="19" t="s">
        <v>69</v>
      </c>
    </row>
    <row r="108" ht="15.75" customHeight="1">
      <c r="A108" s="67">
        <v>8.0</v>
      </c>
      <c r="B108" s="258"/>
      <c r="C108" s="259"/>
      <c r="E108" s="82"/>
      <c r="G108" s="82"/>
      <c r="I108" s="82"/>
      <c r="K108" s="82"/>
      <c r="M108" s="82"/>
      <c r="O108" s="82"/>
      <c r="Q108" s="82"/>
      <c r="S108" s="82"/>
      <c r="U108" s="82"/>
      <c r="W108" s="82"/>
      <c r="Y108" s="82"/>
      <c r="AA108" s="82"/>
      <c r="AC108" s="82"/>
      <c r="AE108" s="82"/>
      <c r="AG108" s="82"/>
      <c r="AH108" s="48">
        <f t="shared" si="2"/>
        <v>0</v>
      </c>
      <c r="AI108" s="19" t="s">
        <v>69</v>
      </c>
    </row>
    <row r="109" ht="15.75" customHeight="1">
      <c r="A109" s="67">
        <v>9.0</v>
      </c>
      <c r="B109" s="261"/>
      <c r="C109" s="259"/>
      <c r="E109" s="82"/>
      <c r="G109" s="82"/>
      <c r="I109" s="82"/>
      <c r="K109" s="82"/>
      <c r="M109" s="82"/>
      <c r="O109" s="82"/>
      <c r="Q109" s="82"/>
      <c r="S109" s="82"/>
      <c r="U109" s="82"/>
      <c r="W109" s="82"/>
      <c r="Y109" s="82"/>
      <c r="AA109" s="82"/>
      <c r="AC109" s="82"/>
      <c r="AE109" s="82"/>
      <c r="AG109" s="82"/>
      <c r="AH109" s="48">
        <f t="shared" si="2"/>
        <v>0</v>
      </c>
      <c r="AI109" s="19" t="s">
        <v>69</v>
      </c>
    </row>
    <row r="110" ht="15.75" customHeight="1">
      <c r="A110" s="67">
        <v>10.0</v>
      </c>
      <c r="B110" s="36"/>
      <c r="C110" s="259"/>
      <c r="E110" s="82"/>
      <c r="G110" s="82"/>
      <c r="I110" s="82"/>
      <c r="K110" s="82"/>
      <c r="M110" s="82"/>
      <c r="O110" s="82"/>
      <c r="Q110" s="82"/>
      <c r="S110" s="82"/>
      <c r="U110" s="82"/>
      <c r="W110" s="82"/>
      <c r="Y110" s="82"/>
      <c r="AA110" s="82"/>
      <c r="AC110" s="82"/>
      <c r="AE110" s="82"/>
      <c r="AG110" s="82"/>
      <c r="AH110" s="48">
        <f t="shared" si="2"/>
        <v>0</v>
      </c>
      <c r="AI110" s="19" t="s">
        <v>69</v>
      </c>
    </row>
    <row r="111" ht="15.75" customHeight="1">
      <c r="A111" s="67">
        <v>11.0</v>
      </c>
      <c r="B111" s="258"/>
      <c r="C111" s="259"/>
      <c r="E111" s="82"/>
      <c r="G111" s="82"/>
      <c r="I111" s="82"/>
      <c r="K111" s="82"/>
      <c r="M111" s="82"/>
      <c r="O111" s="82"/>
      <c r="Q111" s="82"/>
      <c r="S111" s="82"/>
      <c r="U111" s="82"/>
      <c r="W111" s="82"/>
      <c r="Y111" s="82"/>
      <c r="AA111" s="82"/>
      <c r="AC111" s="82"/>
      <c r="AE111" s="82"/>
      <c r="AG111" s="82"/>
      <c r="AH111" s="48">
        <f t="shared" si="2"/>
        <v>0</v>
      </c>
      <c r="AI111" s="19" t="s">
        <v>69</v>
      </c>
    </row>
    <row r="112" ht="15.75" customHeight="1">
      <c r="A112" s="67">
        <v>12.0</v>
      </c>
      <c r="B112" s="258"/>
      <c r="C112" s="259"/>
      <c r="E112" s="82"/>
      <c r="G112" s="82"/>
      <c r="I112" s="82"/>
      <c r="K112" s="82"/>
      <c r="M112" s="82"/>
      <c r="O112" s="82"/>
      <c r="Q112" s="82"/>
      <c r="S112" s="82"/>
      <c r="U112" s="82"/>
      <c r="W112" s="82"/>
      <c r="Y112" s="82"/>
      <c r="AA112" s="82"/>
      <c r="AC112" s="82"/>
      <c r="AE112" s="82"/>
      <c r="AG112" s="82"/>
      <c r="AH112" s="48">
        <f t="shared" si="2"/>
        <v>0</v>
      </c>
      <c r="AI112" s="19" t="s">
        <v>69</v>
      </c>
    </row>
    <row r="113" ht="15.75" customHeight="1">
      <c r="A113" s="67">
        <v>13.0</v>
      </c>
      <c r="B113" s="258"/>
      <c r="C113" s="259"/>
      <c r="E113" s="82"/>
      <c r="G113" s="82"/>
      <c r="I113" s="82"/>
      <c r="K113" s="82"/>
      <c r="M113" s="82"/>
      <c r="O113" s="82"/>
      <c r="Q113" s="82"/>
      <c r="S113" s="82"/>
      <c r="U113" s="82"/>
      <c r="W113" s="82"/>
      <c r="Y113" s="82"/>
      <c r="AA113" s="82"/>
      <c r="AC113" s="82"/>
      <c r="AE113" s="82"/>
      <c r="AG113" s="82"/>
      <c r="AH113" s="48">
        <f t="shared" si="2"/>
        <v>0</v>
      </c>
      <c r="AI113" s="19" t="s">
        <v>69</v>
      </c>
    </row>
    <row r="114" ht="15.75" customHeight="1">
      <c r="A114" s="67">
        <v>14.0</v>
      </c>
      <c r="B114" s="258"/>
      <c r="C114" s="259"/>
      <c r="E114" s="82"/>
      <c r="G114" s="82"/>
      <c r="I114" s="82"/>
      <c r="K114" s="82"/>
      <c r="M114" s="82"/>
      <c r="O114" s="82"/>
      <c r="Q114" s="82"/>
      <c r="S114" s="82"/>
      <c r="U114" s="82"/>
      <c r="W114" s="82"/>
      <c r="Y114" s="82"/>
      <c r="AA114" s="82"/>
      <c r="AC114" s="82"/>
      <c r="AE114" s="82"/>
      <c r="AG114" s="82"/>
      <c r="AH114" s="48">
        <f t="shared" si="2"/>
        <v>0</v>
      </c>
      <c r="AI114" s="19" t="s">
        <v>69</v>
      </c>
    </row>
    <row r="115" ht="15.75" customHeight="1">
      <c r="A115" s="67">
        <v>15.0</v>
      </c>
      <c r="B115" s="258"/>
      <c r="C115" s="259"/>
      <c r="E115" s="82"/>
      <c r="G115" s="82"/>
      <c r="I115" s="82"/>
      <c r="K115" s="82"/>
      <c r="M115" s="82"/>
      <c r="O115" s="82"/>
      <c r="Q115" s="82"/>
      <c r="S115" s="82"/>
      <c r="U115" s="82"/>
      <c r="W115" s="82"/>
      <c r="Y115" s="82"/>
      <c r="AA115" s="82"/>
      <c r="AC115" s="82"/>
      <c r="AE115" s="82"/>
      <c r="AG115" s="82"/>
      <c r="AH115" s="48">
        <f t="shared" si="2"/>
        <v>0</v>
      </c>
      <c r="AI115" s="19" t="s">
        <v>69</v>
      </c>
    </row>
    <row r="116" ht="15.75" customHeight="1">
      <c r="A116" s="67">
        <v>16.0</v>
      </c>
      <c r="B116" s="258"/>
      <c r="C116" s="259"/>
      <c r="E116" s="82"/>
      <c r="G116" s="82"/>
      <c r="I116" s="82"/>
      <c r="K116" s="82"/>
      <c r="M116" s="82"/>
      <c r="O116" s="82"/>
      <c r="Q116" s="82"/>
      <c r="S116" s="82"/>
      <c r="U116" s="82"/>
      <c r="V116" s="19">
        <v>5.0</v>
      </c>
      <c r="W116" s="82"/>
      <c r="Y116" s="82"/>
      <c r="AA116" s="82"/>
      <c r="AC116" s="82"/>
      <c r="AE116" s="82"/>
      <c r="AG116" s="82"/>
      <c r="AH116" s="48">
        <f t="shared" si="2"/>
        <v>5</v>
      </c>
      <c r="AI116" s="19" t="s">
        <v>69</v>
      </c>
    </row>
    <row r="117" ht="15.75" customHeight="1">
      <c r="A117" s="67">
        <v>17.0</v>
      </c>
      <c r="B117" s="36"/>
      <c r="C117" s="259"/>
      <c r="E117" s="82"/>
      <c r="G117" s="82"/>
      <c r="I117" s="82"/>
      <c r="K117" s="82"/>
      <c r="M117" s="82"/>
      <c r="O117" s="82"/>
      <c r="Q117" s="82"/>
      <c r="S117" s="82"/>
      <c r="U117" s="82"/>
      <c r="W117" s="82"/>
      <c r="Y117" s="82"/>
      <c r="AA117" s="82"/>
      <c r="AC117" s="82"/>
      <c r="AE117" s="82"/>
      <c r="AG117" s="82"/>
      <c r="AH117" s="48">
        <f t="shared" si="2"/>
        <v>0</v>
      </c>
      <c r="AI117" s="19" t="s">
        <v>69</v>
      </c>
    </row>
    <row r="118" ht="15.75" customHeight="1">
      <c r="A118" s="252"/>
      <c r="B118" s="35"/>
      <c r="C118" s="82"/>
      <c r="E118" s="82"/>
      <c r="G118" s="82"/>
      <c r="I118" s="82"/>
      <c r="K118" s="82"/>
      <c r="M118" s="82"/>
      <c r="O118" s="82"/>
      <c r="Q118" s="82"/>
      <c r="S118" s="82"/>
      <c r="U118" s="82"/>
      <c r="W118" s="82"/>
      <c r="Y118" s="82"/>
      <c r="AA118" s="82"/>
      <c r="AC118" s="82"/>
      <c r="AE118" s="82"/>
      <c r="AG118" s="82"/>
      <c r="AH118" s="48">
        <f t="shared" si="2"/>
        <v>0</v>
      </c>
      <c r="AI118" s="19" t="s">
        <v>69</v>
      </c>
    </row>
    <row r="119" ht="15.75" customHeight="1">
      <c r="A119" s="262"/>
      <c r="C119" s="82"/>
      <c r="E119" s="82"/>
      <c r="G119" s="82"/>
      <c r="I119" s="82"/>
      <c r="K119" s="82"/>
      <c r="M119" s="82"/>
      <c r="O119" s="82"/>
      <c r="Q119" s="82"/>
      <c r="S119" s="82"/>
      <c r="U119" s="82"/>
      <c r="W119" s="82"/>
      <c r="Y119" s="82"/>
      <c r="AA119" s="82"/>
      <c r="AC119" s="82"/>
      <c r="AE119" s="82"/>
      <c r="AG119" s="82"/>
      <c r="AH119" s="48">
        <f t="shared" si="2"/>
        <v>0</v>
      </c>
      <c r="AI119" s="19" t="s">
        <v>69</v>
      </c>
    </row>
    <row r="120" ht="15.75" customHeight="1">
      <c r="A120" s="262"/>
      <c r="C120" s="82"/>
      <c r="E120" s="82"/>
      <c r="G120" s="82"/>
      <c r="I120" s="82"/>
      <c r="K120" s="82"/>
      <c r="M120" s="82"/>
      <c r="O120" s="82"/>
      <c r="Q120" s="82"/>
      <c r="S120" s="82"/>
      <c r="U120" s="82"/>
      <c r="W120" s="82"/>
      <c r="Y120" s="82"/>
      <c r="AA120" s="82"/>
      <c r="AC120" s="82"/>
      <c r="AE120" s="82"/>
      <c r="AG120" s="82"/>
      <c r="AH120" s="48">
        <f t="shared" si="2"/>
        <v>0</v>
      </c>
      <c r="AI120" s="19" t="s">
        <v>69</v>
      </c>
    </row>
    <row r="121" ht="15.75" customHeight="1">
      <c r="A121" s="262"/>
      <c r="C121" s="82"/>
      <c r="E121" s="82"/>
      <c r="G121" s="82"/>
      <c r="I121" s="82"/>
      <c r="K121" s="82"/>
      <c r="M121" s="82"/>
      <c r="O121" s="82"/>
      <c r="Q121" s="82"/>
      <c r="S121" s="82"/>
      <c r="U121" s="82"/>
      <c r="W121" s="82"/>
      <c r="Y121" s="82"/>
      <c r="AA121" s="82"/>
      <c r="AC121" s="82"/>
      <c r="AE121" s="82"/>
      <c r="AG121" s="82"/>
      <c r="AH121" s="48">
        <f t="shared" si="2"/>
        <v>0</v>
      </c>
      <c r="AI121" s="19" t="s">
        <v>69</v>
      </c>
    </row>
    <row r="122" ht="15.75" customHeight="1">
      <c r="A122" s="262"/>
      <c r="C122" s="82"/>
      <c r="E122" s="82"/>
      <c r="G122" s="82"/>
      <c r="I122" s="82"/>
      <c r="K122" s="82"/>
      <c r="M122" s="82"/>
      <c r="O122" s="82"/>
      <c r="Q122" s="82"/>
      <c r="S122" s="82"/>
      <c r="U122" s="82"/>
      <c r="W122" s="82"/>
      <c r="Y122" s="82"/>
      <c r="AA122" s="82"/>
      <c r="AC122" s="82"/>
      <c r="AE122" s="82"/>
      <c r="AG122" s="82"/>
      <c r="AH122" s="48">
        <f t="shared" si="2"/>
        <v>0</v>
      </c>
      <c r="AI122" s="19" t="s">
        <v>69</v>
      </c>
    </row>
    <row r="123" ht="15.75" customHeight="1">
      <c r="A123" s="262"/>
      <c r="C123" s="82"/>
      <c r="E123" s="82"/>
      <c r="G123" s="82"/>
      <c r="I123" s="82"/>
      <c r="K123" s="82"/>
      <c r="M123" s="82"/>
      <c r="O123" s="82"/>
      <c r="Q123" s="82"/>
      <c r="S123" s="82"/>
      <c r="U123" s="82"/>
      <c r="W123" s="82"/>
      <c r="Y123" s="82"/>
      <c r="AA123" s="82"/>
      <c r="AC123" s="82"/>
      <c r="AE123" s="82"/>
      <c r="AG123" s="82"/>
      <c r="AH123" s="48">
        <f t="shared" si="2"/>
        <v>0</v>
      </c>
      <c r="AI123" s="19" t="s">
        <v>69</v>
      </c>
    </row>
    <row r="124" ht="15.75" customHeight="1">
      <c r="A124" s="262"/>
      <c r="C124" s="82"/>
      <c r="E124" s="82"/>
      <c r="G124" s="82"/>
      <c r="I124" s="82"/>
      <c r="K124" s="82"/>
      <c r="M124" s="82"/>
      <c r="O124" s="82"/>
      <c r="Q124" s="82"/>
      <c r="S124" s="82"/>
      <c r="U124" s="82"/>
      <c r="W124" s="82"/>
      <c r="Y124" s="82"/>
      <c r="AA124" s="82"/>
      <c r="AC124" s="82"/>
      <c r="AE124" s="82"/>
      <c r="AG124" s="82"/>
      <c r="AH124" s="48">
        <f t="shared" si="2"/>
        <v>0</v>
      </c>
      <c r="AI124" s="19" t="s">
        <v>69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A$95"/>
  <mergeCells count="8">
    <mergeCell ref="A3:N3"/>
    <mergeCell ref="P3:T3"/>
    <mergeCell ref="V3:AF3"/>
    <mergeCell ref="A5:AG5"/>
    <mergeCell ref="AH6:AI6"/>
    <mergeCell ref="A97:AG97"/>
    <mergeCell ref="AH99:AI99"/>
    <mergeCell ref="A100:AI100"/>
  </mergeCells>
  <printOptions/>
  <pageMargins bottom="0.7875" footer="0.0" header="0.0" left="0.511806" right="0.511806" top="0.78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6.57"/>
  </cols>
  <sheetData>
    <row r="1">
      <c r="A1" s="30" t="s">
        <v>17</v>
      </c>
      <c r="B1" s="32" t="s">
        <v>19</v>
      </c>
    </row>
    <row r="2">
      <c r="A2" s="145" t="s">
        <v>24</v>
      </c>
      <c r="B2" s="147"/>
    </row>
    <row r="3">
      <c r="A3" s="149" t="s">
        <v>24</v>
      </c>
      <c r="B3" s="150"/>
    </row>
    <row r="4">
      <c r="A4" s="149" t="s">
        <v>37</v>
      </c>
      <c r="B4" s="150"/>
    </row>
    <row r="5">
      <c r="A5" s="145" t="s">
        <v>44</v>
      </c>
      <c r="B5" s="153"/>
    </row>
    <row r="6">
      <c r="A6" s="105" t="s">
        <v>49</v>
      </c>
      <c r="B6" s="62">
        <v>0.0</v>
      </c>
      <c r="C6" s="154" t="s">
        <v>20</v>
      </c>
    </row>
    <row r="7">
      <c r="A7" s="145" t="s">
        <v>55</v>
      </c>
      <c r="B7" s="153"/>
    </row>
    <row r="8">
      <c r="A8" s="108" t="s">
        <v>201</v>
      </c>
      <c r="B8" s="155">
        <v>0.0</v>
      </c>
      <c r="C8" s="154" t="s">
        <v>12</v>
      </c>
    </row>
    <row r="9">
      <c r="A9" s="74" t="s">
        <v>203</v>
      </c>
      <c r="B9" s="72">
        <v>3.0</v>
      </c>
      <c r="C9" s="156" t="s">
        <v>20</v>
      </c>
    </row>
    <row r="10">
      <c r="A10" s="157" t="s">
        <v>71</v>
      </c>
      <c r="B10" s="153"/>
    </row>
    <row r="11">
      <c r="A11" s="149" t="s">
        <v>75</v>
      </c>
      <c r="B11" s="153"/>
    </row>
    <row r="12">
      <c r="A12" s="149" t="s">
        <v>75</v>
      </c>
      <c r="B12" s="158"/>
    </row>
    <row r="13">
      <c r="A13" s="145" t="s">
        <v>80</v>
      </c>
      <c r="B13" s="153"/>
    </row>
    <row r="14">
      <c r="A14" s="159" t="s">
        <v>89</v>
      </c>
      <c r="B14" s="150"/>
    </row>
    <row r="15">
      <c r="A15" s="145" t="s">
        <v>207</v>
      </c>
      <c r="B15" s="153"/>
    </row>
    <row r="16">
      <c r="A16" s="149" t="s">
        <v>93</v>
      </c>
      <c r="B16" s="150"/>
    </row>
    <row r="17">
      <c r="A17" s="145" t="s">
        <v>99</v>
      </c>
      <c r="B17" s="153"/>
    </row>
    <row r="18">
      <c r="A18" s="157" t="s">
        <v>101</v>
      </c>
      <c r="B18" s="153"/>
    </row>
    <row r="19">
      <c r="A19" s="149" t="s">
        <v>107</v>
      </c>
      <c r="B19" s="150"/>
    </row>
    <row r="20">
      <c r="A20" s="145" t="s">
        <v>110</v>
      </c>
      <c r="B20" s="153"/>
    </row>
    <row r="21">
      <c r="A21" s="149" t="s">
        <v>210</v>
      </c>
      <c r="B21" s="150"/>
    </row>
    <row r="22">
      <c r="A22" s="149" t="s">
        <v>120</v>
      </c>
      <c r="B22" s="150"/>
    </row>
    <row r="23">
      <c r="A23" s="145" t="s">
        <v>120</v>
      </c>
      <c r="B23" s="147"/>
    </row>
    <row r="24">
      <c r="A24" s="157" t="s">
        <v>212</v>
      </c>
      <c r="B24" s="153"/>
    </row>
    <row r="25">
      <c r="A25" s="145" t="s">
        <v>125</v>
      </c>
      <c r="B25" s="164"/>
    </row>
    <row r="26">
      <c r="A26" s="159" t="s">
        <v>214</v>
      </c>
      <c r="B26" s="153"/>
    </row>
    <row r="27">
      <c r="A27" s="149" t="s">
        <v>129</v>
      </c>
      <c r="B27" s="150"/>
    </row>
    <row r="28">
      <c r="A28" s="149" t="s">
        <v>132</v>
      </c>
      <c r="B28" s="153"/>
    </row>
    <row r="29">
      <c r="A29" s="165" t="s">
        <v>216</v>
      </c>
      <c r="B29" s="150"/>
    </row>
    <row r="30">
      <c r="A30" s="166" t="s">
        <v>217</v>
      </c>
      <c r="B30" s="153"/>
    </row>
    <row r="31">
      <c r="A31" s="149" t="s">
        <v>140</v>
      </c>
      <c r="B31" s="150"/>
    </row>
    <row r="32">
      <c r="A32" s="149" t="s">
        <v>144</v>
      </c>
      <c r="B32" s="150"/>
    </row>
    <row r="33">
      <c r="A33" s="149" t="s">
        <v>219</v>
      </c>
      <c r="B33" s="150"/>
    </row>
    <row r="34">
      <c r="A34" s="145" t="s">
        <v>152</v>
      </c>
      <c r="B34" s="153"/>
    </row>
    <row r="35">
      <c r="A35" s="149" t="s">
        <v>154</v>
      </c>
      <c r="B35" s="150"/>
    </row>
    <row r="36">
      <c r="A36" s="145" t="s">
        <v>155</v>
      </c>
      <c r="B36" s="153"/>
    </row>
    <row r="37">
      <c r="A37" s="159" t="s">
        <v>222</v>
      </c>
      <c r="B37" s="153"/>
    </row>
    <row r="38">
      <c r="A38" s="145" t="s">
        <v>159</v>
      </c>
      <c r="B38" s="153"/>
    </row>
    <row r="39">
      <c r="A39" s="149" t="s">
        <v>162</v>
      </c>
      <c r="B39" s="150"/>
    </row>
    <row r="40">
      <c r="A40" s="105" t="s">
        <v>223</v>
      </c>
      <c r="B40" s="62">
        <v>0.0</v>
      </c>
      <c r="C40" s="154" t="s">
        <v>12</v>
      </c>
    </row>
    <row r="41">
      <c r="A41" s="157" t="s">
        <v>168</v>
      </c>
      <c r="B41" s="153"/>
    </row>
    <row r="42">
      <c r="A42" s="170" t="s">
        <v>171</v>
      </c>
      <c r="B42" s="150"/>
    </row>
    <row r="43">
      <c r="A43" s="145" t="s">
        <v>173</v>
      </c>
      <c r="B43" s="153"/>
    </row>
    <row r="44">
      <c r="A44" s="149" t="s">
        <v>175</v>
      </c>
      <c r="B44" s="153"/>
    </row>
    <row r="45">
      <c r="A45" s="145" t="s">
        <v>176</v>
      </c>
      <c r="B45" s="153"/>
    </row>
    <row r="46">
      <c r="A46" s="108" t="s">
        <v>225</v>
      </c>
      <c r="B46" s="171">
        <v>0.0</v>
      </c>
      <c r="C46" s="154" t="s">
        <v>20</v>
      </c>
    </row>
    <row r="47">
      <c r="A47" s="105" t="s">
        <v>227</v>
      </c>
      <c r="B47" s="62">
        <v>0.0</v>
      </c>
      <c r="C47" s="154" t="s">
        <v>20</v>
      </c>
    </row>
    <row r="48">
      <c r="A48" s="105" t="s">
        <v>186</v>
      </c>
      <c r="B48" s="62">
        <v>0.0</v>
      </c>
      <c r="C48" s="154" t="s">
        <v>20</v>
      </c>
      <c r="D48" s="172"/>
    </row>
    <row r="49">
      <c r="A49" s="74" t="s">
        <v>188</v>
      </c>
      <c r="B49" s="72">
        <v>6.0</v>
      </c>
      <c r="C49" s="173" t="s">
        <v>20</v>
      </c>
    </row>
    <row r="50">
      <c r="A50" s="149" t="s">
        <v>190</v>
      </c>
      <c r="B50" s="150"/>
    </row>
    <row r="51">
      <c r="A51" s="105" t="s">
        <v>230</v>
      </c>
      <c r="B51" s="62">
        <v>0.0</v>
      </c>
      <c r="C51" s="154" t="s">
        <v>20</v>
      </c>
      <c r="D51" s="172"/>
    </row>
    <row r="52">
      <c r="A52" s="174" t="s">
        <v>232</v>
      </c>
      <c r="B52" s="150"/>
    </row>
    <row r="53">
      <c r="A53" s="175" t="s">
        <v>234</v>
      </c>
      <c r="B53" s="153"/>
    </row>
    <row r="54">
      <c r="A54" s="176" t="s">
        <v>236</v>
      </c>
      <c r="B54" s="147"/>
    </row>
    <row r="55">
      <c r="A55" s="177" t="s">
        <v>238</v>
      </c>
      <c r="B55" s="178"/>
    </row>
    <row r="56">
      <c r="A56" s="176" t="s">
        <v>240</v>
      </c>
      <c r="B56" s="147"/>
    </row>
    <row r="57">
      <c r="A57" s="177" t="s">
        <v>241</v>
      </c>
      <c r="B57" s="178"/>
    </row>
    <row r="58">
      <c r="A58" s="176" t="s">
        <v>242</v>
      </c>
      <c r="B58" s="153"/>
    </row>
    <row r="59">
      <c r="A59" s="177" t="s">
        <v>243</v>
      </c>
      <c r="B59" s="178"/>
    </row>
    <row r="60">
      <c r="A60" s="176" t="s">
        <v>244</v>
      </c>
      <c r="B60" s="147"/>
    </row>
    <row r="61">
      <c r="A61" s="176" t="s">
        <v>208</v>
      </c>
      <c r="B61" s="147"/>
    </row>
    <row r="62">
      <c r="A62" s="176" t="s">
        <v>209</v>
      </c>
      <c r="B62" s="147"/>
    </row>
    <row r="63">
      <c r="A63" s="181" t="s">
        <v>211</v>
      </c>
      <c r="B63" s="153"/>
    </row>
    <row r="64">
      <c r="A64" s="149" t="s">
        <v>213</v>
      </c>
      <c r="B64" s="153"/>
    </row>
    <row r="65">
      <c r="A65" s="149" t="s">
        <v>215</v>
      </c>
      <c r="B65" s="150"/>
    </row>
    <row r="66">
      <c r="A66" s="145" t="s">
        <v>249</v>
      </c>
      <c r="B66" s="153"/>
    </row>
    <row r="67">
      <c r="A67" s="149" t="s">
        <v>220</v>
      </c>
      <c r="B67" s="182"/>
    </row>
    <row r="68">
      <c r="A68" s="159" t="s">
        <v>251</v>
      </c>
      <c r="B68" s="150"/>
    </row>
    <row r="69">
      <c r="A69" s="157" t="s">
        <v>252</v>
      </c>
      <c r="B69" s="153"/>
    </row>
    <row r="70">
      <c r="A70" s="149" t="s">
        <v>233</v>
      </c>
      <c r="B70" s="150"/>
    </row>
    <row r="71">
      <c r="A71" s="145" t="s">
        <v>237</v>
      </c>
      <c r="B71" s="153"/>
    </row>
    <row r="72">
      <c r="A72" s="145" t="s">
        <v>239</v>
      </c>
      <c r="B72" s="153"/>
    </row>
    <row r="73">
      <c r="A73" s="105" t="s">
        <v>255</v>
      </c>
      <c r="B73" s="62">
        <v>0.0</v>
      </c>
      <c r="C73" s="154" t="s">
        <v>12</v>
      </c>
    </row>
    <row r="74">
      <c r="A74" s="105" t="s">
        <v>257</v>
      </c>
      <c r="B74" s="62">
        <v>0.0</v>
      </c>
      <c r="C74" s="154" t="s">
        <v>12</v>
      </c>
    </row>
    <row r="75">
      <c r="A75" s="105" t="s">
        <v>258</v>
      </c>
      <c r="B75" s="62">
        <v>0.0</v>
      </c>
      <c r="C75" s="154" t="s">
        <v>12</v>
      </c>
    </row>
    <row r="76">
      <c r="A76" s="105" t="s">
        <v>260</v>
      </c>
      <c r="B76" s="62">
        <v>0.0</v>
      </c>
      <c r="C76" s="154" t="s">
        <v>12</v>
      </c>
    </row>
    <row r="77">
      <c r="A77" s="108" t="s">
        <v>261</v>
      </c>
      <c r="B77" s="171">
        <v>0.0</v>
      </c>
      <c r="C77" s="154" t="s">
        <v>12</v>
      </c>
    </row>
    <row r="78">
      <c r="A78" s="105" t="s">
        <v>262</v>
      </c>
      <c r="B78" s="62">
        <v>0.0</v>
      </c>
      <c r="C78" s="183"/>
    </row>
    <row r="79">
      <c r="A79" s="108" t="s">
        <v>264</v>
      </c>
      <c r="B79" s="171">
        <v>0.0</v>
      </c>
      <c r="C79" s="154" t="s">
        <v>12</v>
      </c>
    </row>
    <row r="80">
      <c r="A80" s="145" t="s">
        <v>265</v>
      </c>
      <c r="B80" s="150"/>
    </row>
    <row r="81">
      <c r="A81" s="145" t="s">
        <v>266</v>
      </c>
      <c r="B81" s="153"/>
    </row>
    <row r="82">
      <c r="A82" s="145" t="s">
        <v>267</v>
      </c>
      <c r="B82" s="150"/>
    </row>
    <row r="83">
      <c r="A83" s="149" t="s">
        <v>64</v>
      </c>
      <c r="B83" s="185"/>
    </row>
    <row r="84">
      <c r="A84" s="145" t="s">
        <v>268</v>
      </c>
      <c r="B84" s="153"/>
    </row>
    <row r="85">
      <c r="A85" s="145" t="s">
        <v>269</v>
      </c>
      <c r="B85" s="153"/>
    </row>
    <row r="86">
      <c r="A86" s="145" t="s">
        <v>270</v>
      </c>
      <c r="B86" s="153"/>
    </row>
    <row r="87">
      <c r="A87" s="157" t="s">
        <v>270</v>
      </c>
      <c r="B87" s="153"/>
    </row>
    <row r="88">
      <c r="A88" s="149" t="s">
        <v>271</v>
      </c>
      <c r="B88" s="178"/>
    </row>
    <row r="89">
      <c r="A89" s="145" t="s">
        <v>273</v>
      </c>
      <c r="B89" s="187"/>
    </row>
    <row r="90">
      <c r="A90" s="149" t="s">
        <v>274</v>
      </c>
      <c r="B90" s="178"/>
    </row>
    <row r="91">
      <c r="A91" s="188" t="s">
        <v>277</v>
      </c>
      <c r="B91" s="178"/>
    </row>
    <row r="92">
      <c r="A92" s="188" t="s">
        <v>278</v>
      </c>
      <c r="B92" s="178"/>
    </row>
    <row r="93">
      <c r="A93" s="145" t="s">
        <v>279</v>
      </c>
      <c r="B93" s="192"/>
    </row>
    <row r="94">
      <c r="A94" s="145" t="s">
        <v>281</v>
      </c>
      <c r="B94" s="194"/>
    </row>
    <row r="95">
      <c r="A95" s="149" t="s">
        <v>282</v>
      </c>
      <c r="B95" s="150"/>
    </row>
    <row r="96">
      <c r="A96" s="157" t="s">
        <v>283</v>
      </c>
      <c r="B96" s="194"/>
    </row>
    <row r="97">
      <c r="A97" s="157" t="s">
        <v>284</v>
      </c>
      <c r="B97" s="194"/>
    </row>
    <row r="98">
      <c r="A98" s="149" t="s">
        <v>285</v>
      </c>
      <c r="B98" s="150"/>
    </row>
    <row r="99">
      <c r="A99" s="149" t="s">
        <v>218</v>
      </c>
      <c r="B99" s="150"/>
    </row>
    <row r="100">
      <c r="A100" s="157" t="s">
        <v>286</v>
      </c>
      <c r="B100" s="153"/>
    </row>
    <row r="101">
      <c r="A101" s="157" t="s">
        <v>287</v>
      </c>
      <c r="B101" s="153"/>
    </row>
    <row r="102">
      <c r="A102" s="159" t="s">
        <v>288</v>
      </c>
      <c r="B102" s="150"/>
    </row>
    <row r="103">
      <c r="A103" s="157" t="s">
        <v>289</v>
      </c>
      <c r="B103" s="153"/>
    </row>
    <row r="104">
      <c r="A104" s="157" t="s">
        <v>290</v>
      </c>
      <c r="B104" s="153"/>
    </row>
    <row r="105">
      <c r="A105" s="61" t="s">
        <v>292</v>
      </c>
      <c r="B105" s="62">
        <v>0.0</v>
      </c>
      <c r="C105" s="154" t="s">
        <v>20</v>
      </c>
    </row>
    <row r="106">
      <c r="A106" s="159" t="s">
        <v>293</v>
      </c>
      <c r="B106" s="150"/>
    </row>
    <row r="107">
      <c r="A107" s="145" t="s">
        <v>294</v>
      </c>
      <c r="B107" s="153"/>
    </row>
    <row r="108">
      <c r="A108" s="149" t="s">
        <v>296</v>
      </c>
      <c r="B108" s="150"/>
    </row>
    <row r="109">
      <c r="A109" s="145" t="s">
        <v>297</v>
      </c>
      <c r="B109" s="153"/>
    </row>
    <row r="110">
      <c r="A110" s="145" t="s">
        <v>298</v>
      </c>
      <c r="B110" s="153"/>
    </row>
    <row r="111">
      <c r="A111" s="149" t="s">
        <v>299</v>
      </c>
      <c r="B111" s="150"/>
    </row>
    <row r="112">
      <c r="A112" s="159" t="s">
        <v>300</v>
      </c>
      <c r="B112" s="150"/>
    </row>
    <row r="113">
      <c r="A113" s="149" t="s">
        <v>301</v>
      </c>
      <c r="B113" s="150"/>
    </row>
    <row r="114">
      <c r="A114" s="145" t="s">
        <v>302</v>
      </c>
      <c r="B114" s="153"/>
    </row>
    <row r="115">
      <c r="A115" s="177" t="s">
        <v>303</v>
      </c>
      <c r="B115" s="196"/>
    </row>
    <row r="116">
      <c r="A116" s="198"/>
      <c r="B116" s="150"/>
    </row>
    <row r="117">
      <c r="A117" s="198"/>
      <c r="B117" s="150"/>
    </row>
    <row r="118">
      <c r="A118" s="198"/>
      <c r="B118" s="150"/>
    </row>
    <row r="119">
      <c r="A119" s="200"/>
      <c r="B119" s="153"/>
    </row>
    <row r="120">
      <c r="A120" s="198"/>
      <c r="B120" s="15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57"/>
    <col customWidth="1" min="2" max="2" width="5.14"/>
    <col customWidth="1" min="3" max="12" width="3.0"/>
    <col customWidth="1" min="13" max="13" width="3.29"/>
    <col customWidth="1" min="14" max="14" width="3.0"/>
    <col customWidth="1" min="15" max="15" width="3.29"/>
    <col customWidth="1" min="16" max="16" width="3.0"/>
    <col customWidth="1" min="17" max="17" width="3.29"/>
    <col customWidth="1" min="18" max="18" width="3.0"/>
    <col customWidth="1" min="19" max="19" width="3.29"/>
    <col customWidth="1" min="20" max="20" width="3.0"/>
    <col customWidth="1" min="21" max="21" width="3.29"/>
    <col customWidth="1" min="22" max="22" width="4.0"/>
    <col customWidth="1" min="23" max="23" width="3.29"/>
    <col customWidth="1" min="24" max="24" width="3.0"/>
    <col customWidth="1" min="25" max="25" width="3.29"/>
    <col customWidth="1" min="26" max="26" width="3.0"/>
    <col customWidth="1" min="27" max="27" width="4.0"/>
    <col customWidth="1" min="28" max="28" width="3.0"/>
    <col customWidth="1" min="29" max="29" width="3.29"/>
    <col customWidth="1" min="30" max="30" width="3.0"/>
    <col customWidth="1" min="31" max="31" width="3.29"/>
    <col customWidth="1" min="32" max="32" width="3.0"/>
    <col customWidth="1" min="33" max="33" width="3.29"/>
    <col customWidth="1" min="34" max="34" width="10.29"/>
    <col customWidth="1" min="35" max="35" width="6.57"/>
  </cols>
  <sheetData>
    <row r="1">
      <c r="B1" s="79"/>
    </row>
    <row r="2">
      <c r="I2" s="35"/>
    </row>
    <row r="3">
      <c r="A3" s="184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9"/>
      <c r="O3" s="186"/>
      <c r="P3" s="184">
        <v>2023.0</v>
      </c>
      <c r="Q3" s="5"/>
      <c r="R3" s="5"/>
      <c r="S3" s="5"/>
      <c r="T3" s="9"/>
      <c r="U3" s="186"/>
      <c r="V3" s="20" t="s">
        <v>272</v>
      </c>
      <c r="W3" s="5"/>
      <c r="X3" s="5"/>
      <c r="Y3" s="5"/>
      <c r="Z3" s="5"/>
      <c r="AA3" s="5"/>
      <c r="AB3" s="5"/>
      <c r="AC3" s="5"/>
      <c r="AD3" s="5"/>
      <c r="AE3" s="5"/>
      <c r="AF3" s="9"/>
      <c r="AG3" s="186"/>
    </row>
    <row r="4">
      <c r="A4" s="29" t="s">
        <v>276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9"/>
    </row>
    <row r="6">
      <c r="A6" s="37" t="s">
        <v>25</v>
      </c>
      <c r="B6" s="32"/>
      <c r="C6" s="41">
        <v>1.0</v>
      </c>
      <c r="D6" s="35">
        <v>2.0</v>
      </c>
      <c r="E6" s="41">
        <v>3.0</v>
      </c>
      <c r="F6" s="35">
        <v>4.0</v>
      </c>
      <c r="G6" s="41">
        <v>5.0</v>
      </c>
      <c r="H6" s="35">
        <v>6.0</v>
      </c>
      <c r="I6" s="41">
        <v>7.0</v>
      </c>
      <c r="J6" s="35">
        <v>8.0</v>
      </c>
      <c r="K6" s="41">
        <v>9.0</v>
      </c>
      <c r="L6" s="35">
        <v>10.0</v>
      </c>
      <c r="M6" s="41">
        <v>11.0</v>
      </c>
      <c r="N6" s="35">
        <v>12.0</v>
      </c>
      <c r="O6" s="41">
        <v>13.0</v>
      </c>
      <c r="P6" s="35">
        <v>14.0</v>
      </c>
      <c r="Q6" s="41">
        <v>15.0</v>
      </c>
      <c r="R6" s="35">
        <v>16.0</v>
      </c>
      <c r="S6" s="41">
        <v>17.0</v>
      </c>
      <c r="T6" s="35">
        <v>18.0</v>
      </c>
      <c r="U6" s="41">
        <v>19.0</v>
      </c>
      <c r="V6" s="35">
        <v>20.0</v>
      </c>
      <c r="W6" s="41">
        <v>21.0</v>
      </c>
      <c r="X6" s="35">
        <v>22.0</v>
      </c>
      <c r="Y6" s="41">
        <v>23.0</v>
      </c>
      <c r="Z6" s="35">
        <v>24.0</v>
      </c>
      <c r="AA6" s="41">
        <v>25.0</v>
      </c>
      <c r="AB6" s="35">
        <v>26.0</v>
      </c>
      <c r="AC6" s="41">
        <v>27.0</v>
      </c>
      <c r="AD6" s="35">
        <v>28.0</v>
      </c>
      <c r="AE6" s="41">
        <v>29.0</v>
      </c>
      <c r="AF6" s="35">
        <v>30.0</v>
      </c>
      <c r="AG6" s="41">
        <v>31.0</v>
      </c>
      <c r="AH6" s="48" t="s">
        <v>291</v>
      </c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199"/>
      <c r="AI7" s="199"/>
    </row>
    <row r="8">
      <c r="A8" s="67">
        <v>1.0</v>
      </c>
      <c r="B8" s="36">
        <v>41.0</v>
      </c>
      <c r="C8" s="68"/>
      <c r="D8" s="39"/>
      <c r="E8" s="68"/>
      <c r="F8" s="39"/>
      <c r="G8" s="201"/>
      <c r="H8" s="39"/>
      <c r="I8" s="68"/>
      <c r="J8" s="39"/>
      <c r="K8" s="68"/>
      <c r="L8" s="39"/>
      <c r="M8" s="68"/>
      <c r="N8" s="39"/>
      <c r="O8" s="68"/>
      <c r="P8" s="39"/>
      <c r="Q8" s="68"/>
      <c r="R8" s="39"/>
      <c r="S8" s="68"/>
      <c r="T8" s="39"/>
      <c r="U8" s="68"/>
      <c r="V8" s="39"/>
      <c r="W8" s="68"/>
      <c r="X8" s="39"/>
      <c r="Y8" s="68"/>
      <c r="Z8" s="39"/>
      <c r="AA8" s="68"/>
      <c r="AB8" s="39"/>
      <c r="AC8" s="68"/>
      <c r="AD8" s="39"/>
      <c r="AE8" s="68"/>
      <c r="AF8" s="39"/>
      <c r="AG8" s="68"/>
      <c r="AH8" s="79">
        <f t="shared" ref="AH8:AH95" si="1">SUM(B8:AG8)</f>
        <v>41</v>
      </c>
      <c r="AI8" s="35" t="s">
        <v>69</v>
      </c>
    </row>
    <row r="9">
      <c r="A9" s="67">
        <v>2.0</v>
      </c>
      <c r="B9" s="36">
        <v>10.0</v>
      </c>
      <c r="C9" s="81"/>
      <c r="D9" s="35"/>
      <c r="E9" s="82"/>
      <c r="G9" s="82"/>
      <c r="I9" s="82"/>
      <c r="K9" s="82"/>
      <c r="M9" s="82"/>
      <c r="O9" s="82"/>
      <c r="Q9" s="82"/>
      <c r="S9" s="82"/>
      <c r="U9" s="82"/>
      <c r="W9" s="82"/>
      <c r="Y9" s="82"/>
      <c r="AA9" s="82"/>
      <c r="AC9" s="82"/>
      <c r="AE9" s="82"/>
      <c r="AG9" s="82"/>
      <c r="AH9" s="79">
        <f t="shared" si="1"/>
        <v>10</v>
      </c>
      <c r="AI9" s="35" t="s">
        <v>69</v>
      </c>
    </row>
    <row r="10">
      <c r="A10" s="67">
        <v>3.0</v>
      </c>
      <c r="B10" s="36">
        <v>282.0</v>
      </c>
      <c r="C10" s="81"/>
      <c r="D10" s="35"/>
      <c r="E10" s="82"/>
      <c r="G10" s="82"/>
      <c r="I10" s="82"/>
      <c r="K10" s="82"/>
      <c r="M10" s="82"/>
      <c r="O10" s="82"/>
      <c r="Q10" s="82"/>
      <c r="S10" s="82"/>
      <c r="U10" s="82"/>
      <c r="W10" s="82"/>
      <c r="Y10" s="82"/>
      <c r="AA10" s="82"/>
      <c r="AC10" s="82"/>
      <c r="AE10" s="82"/>
      <c r="AG10" s="82"/>
      <c r="AH10" s="79">
        <f t="shared" si="1"/>
        <v>282</v>
      </c>
      <c r="AI10" s="35" t="s">
        <v>69</v>
      </c>
    </row>
    <row r="11">
      <c r="A11" s="67">
        <v>4.0</v>
      </c>
      <c r="B11" s="36">
        <v>0.0</v>
      </c>
      <c r="C11" s="81"/>
      <c r="D11" s="35"/>
      <c r="E11" s="82"/>
      <c r="G11" s="82"/>
      <c r="I11" s="82"/>
      <c r="K11" s="82"/>
      <c r="M11" s="82"/>
      <c r="O11" s="82"/>
      <c r="Q11" s="82"/>
      <c r="S11" s="82"/>
      <c r="U11" s="82"/>
      <c r="W11" s="82"/>
      <c r="Y11" s="82"/>
      <c r="AA11" s="82"/>
      <c r="AC11" s="82"/>
      <c r="AE11" s="82"/>
      <c r="AG11" s="82"/>
      <c r="AH11" s="79">
        <f t="shared" si="1"/>
        <v>0</v>
      </c>
      <c r="AI11" s="35" t="s">
        <v>69</v>
      </c>
    </row>
    <row r="12">
      <c r="A12" s="67">
        <v>5.0</v>
      </c>
      <c r="B12" s="36">
        <v>0.0</v>
      </c>
      <c r="C12" s="81"/>
      <c r="D12" s="35"/>
      <c r="E12" s="82"/>
      <c r="G12" s="82"/>
      <c r="I12" s="82"/>
      <c r="K12" s="82"/>
      <c r="M12" s="82"/>
      <c r="O12" s="82"/>
      <c r="Q12" s="82"/>
      <c r="S12" s="82"/>
      <c r="U12" s="82"/>
      <c r="W12" s="82"/>
      <c r="Y12" s="82"/>
      <c r="AA12" s="82"/>
      <c r="AC12" s="82"/>
      <c r="AE12" s="82"/>
      <c r="AG12" s="82"/>
      <c r="AH12" s="79">
        <f t="shared" si="1"/>
        <v>0</v>
      </c>
      <c r="AI12" s="35" t="s">
        <v>69</v>
      </c>
    </row>
    <row r="13">
      <c r="A13" s="67">
        <v>6.0</v>
      </c>
      <c r="B13" s="36">
        <v>0.0</v>
      </c>
      <c r="C13" s="81"/>
      <c r="D13" s="35"/>
      <c r="E13" s="82"/>
      <c r="G13" s="82"/>
      <c r="I13" s="82"/>
      <c r="K13" s="82"/>
      <c r="M13" s="82"/>
      <c r="O13" s="82"/>
      <c r="Q13" s="82"/>
      <c r="S13" s="82"/>
      <c r="U13" s="82"/>
      <c r="W13" s="82"/>
      <c r="Y13" s="82"/>
      <c r="AA13" s="82"/>
      <c r="AC13" s="82"/>
      <c r="AE13" s="82"/>
      <c r="AG13" s="82"/>
      <c r="AH13" s="79">
        <f t="shared" si="1"/>
        <v>0</v>
      </c>
      <c r="AI13" s="35" t="s">
        <v>69</v>
      </c>
    </row>
    <row r="14">
      <c r="A14" s="67">
        <v>7.0</v>
      </c>
      <c r="B14" s="36">
        <v>225.0</v>
      </c>
      <c r="C14" s="81"/>
      <c r="D14" s="35"/>
      <c r="E14" s="82"/>
      <c r="G14" s="82"/>
      <c r="I14" s="82"/>
      <c r="K14" s="82"/>
      <c r="M14" s="82"/>
      <c r="O14" s="82"/>
      <c r="Q14" s="82"/>
      <c r="S14" s="82"/>
      <c r="U14" s="82"/>
      <c r="W14" s="82"/>
      <c r="Y14" s="82"/>
      <c r="AA14" s="82"/>
      <c r="AC14" s="82"/>
      <c r="AE14" s="82"/>
      <c r="AG14" s="82"/>
      <c r="AH14" s="79">
        <f t="shared" si="1"/>
        <v>225</v>
      </c>
      <c r="AI14" s="35" t="s">
        <v>69</v>
      </c>
    </row>
    <row r="15">
      <c r="A15" s="67">
        <v>8.0</v>
      </c>
      <c r="B15" s="36">
        <v>0.0</v>
      </c>
      <c r="C15" s="81"/>
      <c r="D15" s="35"/>
      <c r="E15" s="82"/>
      <c r="G15" s="82"/>
      <c r="I15" s="82"/>
      <c r="K15" s="82"/>
      <c r="M15" s="82"/>
      <c r="O15" s="82"/>
      <c r="Q15" s="82"/>
      <c r="S15" s="82"/>
      <c r="U15" s="82"/>
      <c r="W15" s="82"/>
      <c r="Y15" s="82"/>
      <c r="AA15" s="82"/>
      <c r="AC15" s="82"/>
      <c r="AE15" s="82"/>
      <c r="AG15" s="82"/>
      <c r="AH15" s="79">
        <f t="shared" si="1"/>
        <v>0</v>
      </c>
      <c r="AI15" s="35" t="s">
        <v>69</v>
      </c>
    </row>
    <row r="16">
      <c r="A16" s="67">
        <v>9.0</v>
      </c>
      <c r="B16" s="36">
        <v>71.0</v>
      </c>
      <c r="C16" s="81"/>
      <c r="D16" s="35"/>
      <c r="E16" s="82"/>
      <c r="G16" s="82"/>
      <c r="I16" s="82"/>
      <c r="K16" s="82"/>
      <c r="M16" s="82"/>
      <c r="O16" s="82"/>
      <c r="Q16" s="82"/>
      <c r="S16" s="82"/>
      <c r="U16" s="82"/>
      <c r="W16" s="82"/>
      <c r="Y16" s="82"/>
      <c r="AA16" s="82"/>
      <c r="AC16" s="82"/>
      <c r="AE16" s="82"/>
      <c r="AG16" s="82"/>
      <c r="AH16" s="79">
        <f t="shared" si="1"/>
        <v>71</v>
      </c>
      <c r="AI16" s="35" t="s">
        <v>69</v>
      </c>
    </row>
    <row r="17">
      <c r="A17" s="67">
        <v>10.0</v>
      </c>
      <c r="B17" s="36">
        <v>47.0</v>
      </c>
      <c r="C17" s="81"/>
      <c r="E17" s="82"/>
      <c r="G17" s="82"/>
      <c r="I17" s="82"/>
      <c r="K17" s="82"/>
      <c r="M17" s="82"/>
      <c r="O17" s="82"/>
      <c r="Q17" s="82"/>
      <c r="S17" s="82"/>
      <c r="U17" s="82"/>
      <c r="W17" s="82"/>
      <c r="Y17" s="82"/>
      <c r="AA17" s="82"/>
      <c r="AC17" s="82"/>
      <c r="AE17" s="82"/>
      <c r="AG17" s="82"/>
      <c r="AH17" s="79">
        <f t="shared" si="1"/>
        <v>47</v>
      </c>
      <c r="AI17" s="35" t="s">
        <v>69</v>
      </c>
    </row>
    <row r="18">
      <c r="A18" s="67">
        <v>11.0</v>
      </c>
      <c r="B18" s="36">
        <v>57.0</v>
      </c>
      <c r="C18" s="81"/>
      <c r="E18" s="82"/>
      <c r="G18" s="82"/>
      <c r="I18" s="82"/>
      <c r="K18" s="82"/>
      <c r="M18" s="82"/>
      <c r="O18" s="82"/>
      <c r="Q18" s="82"/>
      <c r="S18" s="82"/>
      <c r="U18" s="82"/>
      <c r="W18" s="82"/>
      <c r="Y18" s="82"/>
      <c r="AA18" s="82"/>
      <c r="AC18" s="82"/>
      <c r="AE18" s="82"/>
      <c r="AG18" s="82"/>
      <c r="AH18" s="79">
        <f t="shared" si="1"/>
        <v>57</v>
      </c>
      <c r="AI18" s="35" t="s">
        <v>69</v>
      </c>
    </row>
    <row r="19">
      <c r="A19" s="67">
        <v>12.0</v>
      </c>
      <c r="B19" s="36">
        <v>8.0</v>
      </c>
      <c r="C19" s="81"/>
      <c r="E19" s="82"/>
      <c r="G19" s="82"/>
      <c r="I19" s="82"/>
      <c r="K19" s="82"/>
      <c r="M19" s="82"/>
      <c r="O19" s="82"/>
      <c r="Q19" s="82"/>
      <c r="S19" s="82"/>
      <c r="U19" s="82"/>
      <c r="W19" s="82"/>
      <c r="Y19" s="82"/>
      <c r="AA19" s="82"/>
      <c r="AC19" s="82"/>
      <c r="AE19" s="82"/>
      <c r="AG19" s="82"/>
      <c r="AH19" s="79">
        <f t="shared" si="1"/>
        <v>8</v>
      </c>
      <c r="AI19" s="35" t="s">
        <v>69</v>
      </c>
    </row>
    <row r="20">
      <c r="A20" s="67">
        <v>13.0</v>
      </c>
      <c r="B20" s="36">
        <v>0.0</v>
      </c>
      <c r="C20" s="81"/>
      <c r="E20" s="82"/>
      <c r="G20" s="82"/>
      <c r="I20" s="82"/>
      <c r="K20" s="82"/>
      <c r="M20" s="82"/>
      <c r="O20" s="82"/>
      <c r="Q20" s="82"/>
      <c r="S20" s="82"/>
      <c r="U20" s="82"/>
      <c r="W20" s="82"/>
      <c r="Y20" s="82"/>
      <c r="AA20" s="82"/>
      <c r="AC20" s="82"/>
      <c r="AE20" s="82"/>
      <c r="AG20" s="82"/>
      <c r="AH20" s="79">
        <f t="shared" si="1"/>
        <v>0</v>
      </c>
      <c r="AI20" s="35" t="s">
        <v>69</v>
      </c>
    </row>
    <row r="21" ht="15.75" customHeight="1">
      <c r="A21" s="67">
        <v>14.0</v>
      </c>
      <c r="B21" s="36">
        <v>0.0</v>
      </c>
      <c r="C21" s="81"/>
      <c r="E21" s="82"/>
      <c r="G21" s="82"/>
      <c r="I21" s="82"/>
      <c r="K21" s="82"/>
      <c r="M21" s="82"/>
      <c r="O21" s="82"/>
      <c r="Q21" s="82"/>
      <c r="S21" s="82"/>
      <c r="U21" s="82"/>
      <c r="W21" s="82"/>
      <c r="Y21" s="82"/>
      <c r="AA21" s="82"/>
      <c r="AC21" s="82"/>
      <c r="AE21" s="82"/>
      <c r="AG21" s="82"/>
      <c r="AH21" s="79">
        <f t="shared" si="1"/>
        <v>0</v>
      </c>
      <c r="AI21" s="35" t="s">
        <v>69</v>
      </c>
    </row>
    <row r="22" ht="15.75" customHeight="1">
      <c r="A22" s="67">
        <v>15.0</v>
      </c>
      <c r="B22" s="36">
        <v>7.0</v>
      </c>
      <c r="C22" s="81"/>
      <c r="E22" s="82"/>
      <c r="G22" s="82"/>
      <c r="I22" s="82"/>
      <c r="K22" s="82"/>
      <c r="M22" s="82"/>
      <c r="O22" s="82"/>
      <c r="Q22" s="82"/>
      <c r="S22" s="82"/>
      <c r="U22" s="82"/>
      <c r="W22" s="82"/>
      <c r="Y22" s="82"/>
      <c r="AA22" s="82"/>
      <c r="AC22" s="82"/>
      <c r="AE22" s="82"/>
      <c r="AG22" s="82"/>
      <c r="AH22" s="79">
        <f t="shared" si="1"/>
        <v>7</v>
      </c>
      <c r="AI22" s="35" t="s">
        <v>69</v>
      </c>
    </row>
    <row r="23" ht="15.75" customHeight="1">
      <c r="A23" s="67">
        <v>16.0</v>
      </c>
      <c r="B23" s="36">
        <v>17.0</v>
      </c>
      <c r="C23" s="81"/>
      <c r="E23" s="82"/>
      <c r="G23" s="82"/>
      <c r="I23" s="82"/>
      <c r="K23" s="82"/>
      <c r="M23" s="82"/>
      <c r="O23" s="82"/>
      <c r="Q23" s="82"/>
      <c r="S23" s="82"/>
      <c r="U23" s="82"/>
      <c r="W23" s="82"/>
      <c r="Y23" s="82"/>
      <c r="AA23" s="82"/>
      <c r="AC23" s="82"/>
      <c r="AE23" s="82"/>
      <c r="AG23" s="82"/>
      <c r="AH23" s="79">
        <f t="shared" si="1"/>
        <v>17</v>
      </c>
      <c r="AI23" s="35" t="s">
        <v>69</v>
      </c>
    </row>
    <row r="24" ht="15.75" customHeight="1">
      <c r="A24" s="67">
        <v>17.0</v>
      </c>
      <c r="B24" s="36">
        <v>73.0</v>
      </c>
      <c r="C24" s="81"/>
      <c r="E24" s="82"/>
      <c r="G24" s="82"/>
      <c r="I24" s="82"/>
      <c r="K24" s="82"/>
      <c r="M24" s="82"/>
      <c r="O24" s="82"/>
      <c r="Q24" s="82"/>
      <c r="S24" s="82"/>
      <c r="U24" s="82"/>
      <c r="W24" s="82"/>
      <c r="Y24" s="82"/>
      <c r="AA24" s="82"/>
      <c r="AC24" s="82"/>
      <c r="AE24" s="82"/>
      <c r="AG24" s="82"/>
      <c r="AH24" s="79">
        <f t="shared" si="1"/>
        <v>73</v>
      </c>
      <c r="AI24" s="35" t="s">
        <v>69</v>
      </c>
    </row>
    <row r="25" ht="15.75" customHeight="1">
      <c r="A25" s="67">
        <v>18.0</v>
      </c>
      <c r="B25" s="36">
        <v>17.0</v>
      </c>
      <c r="C25" s="81"/>
      <c r="E25" s="82"/>
      <c r="G25" s="82"/>
      <c r="I25" s="82"/>
      <c r="K25" s="82"/>
      <c r="M25" s="82"/>
      <c r="O25" s="82"/>
      <c r="Q25" s="82"/>
      <c r="S25" s="82"/>
      <c r="U25" s="82"/>
      <c r="W25" s="82"/>
      <c r="Y25" s="82"/>
      <c r="AA25" s="82"/>
      <c r="AC25" s="82"/>
      <c r="AE25" s="82"/>
      <c r="AG25" s="82"/>
      <c r="AH25" s="79">
        <f t="shared" si="1"/>
        <v>17</v>
      </c>
      <c r="AI25" s="35" t="s">
        <v>69</v>
      </c>
    </row>
    <row r="26" ht="15.75" customHeight="1">
      <c r="A26" s="230">
        <v>19.0</v>
      </c>
      <c r="B26" s="36">
        <v>233.0</v>
      </c>
      <c r="C26" s="81"/>
      <c r="E26" s="82"/>
      <c r="G26" s="82"/>
      <c r="I26" s="82"/>
      <c r="K26" s="82"/>
      <c r="M26" s="82"/>
      <c r="O26" s="82"/>
      <c r="Q26" s="82"/>
      <c r="S26" s="82"/>
      <c r="U26" s="82"/>
      <c r="W26" s="82"/>
      <c r="Y26" s="82"/>
      <c r="AA26" s="82"/>
      <c r="AC26" s="82"/>
      <c r="AE26" s="82"/>
      <c r="AG26" s="82"/>
      <c r="AH26" s="79">
        <f t="shared" si="1"/>
        <v>233</v>
      </c>
      <c r="AI26" s="35" t="s">
        <v>69</v>
      </c>
    </row>
    <row r="27" ht="15.75" customHeight="1">
      <c r="A27" s="234"/>
      <c r="C27" s="133"/>
      <c r="E27" s="82"/>
      <c r="G27" s="82"/>
      <c r="I27" s="82"/>
      <c r="K27" s="82"/>
      <c r="M27" s="82"/>
      <c r="O27" s="82"/>
      <c r="Q27" s="82"/>
      <c r="S27" s="82"/>
      <c r="U27" s="82"/>
      <c r="W27" s="82"/>
      <c r="Y27" s="82"/>
      <c r="AA27" s="82"/>
      <c r="AC27" s="82"/>
      <c r="AE27" s="82"/>
      <c r="AG27" s="82"/>
      <c r="AH27" s="79">
        <f t="shared" si="1"/>
        <v>0</v>
      </c>
      <c r="AI27" s="35" t="s">
        <v>69</v>
      </c>
    </row>
    <row r="28" ht="15.75" customHeight="1">
      <c r="A28" s="135">
        <v>20.0</v>
      </c>
      <c r="B28" s="49">
        <v>6.0</v>
      </c>
      <c r="C28" s="133"/>
      <c r="E28" s="82"/>
      <c r="G28" s="82"/>
      <c r="I28" s="82"/>
      <c r="K28" s="82"/>
      <c r="M28" s="82"/>
      <c r="O28" s="82"/>
      <c r="Q28" s="82"/>
      <c r="S28" s="82"/>
      <c r="U28" s="82"/>
      <c r="W28" s="82"/>
      <c r="Y28" s="82"/>
      <c r="AA28" s="82"/>
      <c r="AC28" s="82"/>
      <c r="AE28" s="82"/>
      <c r="AG28" s="82"/>
      <c r="AH28" s="79">
        <f t="shared" si="1"/>
        <v>6</v>
      </c>
      <c r="AI28" s="35" t="s">
        <v>69</v>
      </c>
    </row>
    <row r="29" ht="15.75" customHeight="1">
      <c r="A29" s="67">
        <v>21.0</v>
      </c>
      <c r="B29" s="36">
        <v>0.0</v>
      </c>
      <c r="C29" s="81"/>
      <c r="E29" s="82"/>
      <c r="G29" s="82"/>
      <c r="I29" s="82"/>
      <c r="K29" s="82"/>
      <c r="M29" s="82"/>
      <c r="O29" s="82"/>
      <c r="Q29" s="82"/>
      <c r="S29" s="82"/>
      <c r="U29" s="82"/>
      <c r="V29" s="19">
        <v>160.0</v>
      </c>
      <c r="W29" s="82"/>
      <c r="Y29" s="82"/>
      <c r="AA29" s="82"/>
      <c r="AC29" s="82"/>
      <c r="AE29" s="82"/>
      <c r="AG29" s="82"/>
      <c r="AH29" s="79">
        <f t="shared" si="1"/>
        <v>160</v>
      </c>
      <c r="AI29" s="35" t="s">
        <v>69</v>
      </c>
    </row>
    <row r="30" ht="15.75" customHeight="1">
      <c r="A30" s="67">
        <v>22.0</v>
      </c>
      <c r="B30" s="36">
        <v>333.0</v>
      </c>
      <c r="C30" s="81"/>
      <c r="E30" s="82"/>
      <c r="G30" s="82"/>
      <c r="I30" s="82"/>
      <c r="K30" s="82"/>
      <c r="M30" s="82"/>
      <c r="O30" s="82"/>
      <c r="Q30" s="82"/>
      <c r="S30" s="82"/>
      <c r="U30" s="82"/>
      <c r="W30" s="82"/>
      <c r="Y30" s="82"/>
      <c r="AA30" s="82"/>
      <c r="AC30" s="82"/>
      <c r="AE30" s="82"/>
      <c r="AG30" s="82"/>
      <c r="AH30" s="79">
        <f t="shared" si="1"/>
        <v>333</v>
      </c>
      <c r="AI30" s="35" t="s">
        <v>69</v>
      </c>
    </row>
    <row r="31" ht="15.75" customHeight="1">
      <c r="A31" s="67">
        <v>23.0</v>
      </c>
      <c r="B31" s="36">
        <v>38.0</v>
      </c>
      <c r="C31" s="81"/>
      <c r="E31" s="82"/>
      <c r="G31" s="82"/>
      <c r="I31" s="82"/>
      <c r="K31" s="82"/>
      <c r="M31" s="82"/>
      <c r="O31" s="82"/>
      <c r="Q31" s="82"/>
      <c r="S31" s="82"/>
      <c r="U31" s="82"/>
      <c r="W31" s="82"/>
      <c r="Y31" s="82"/>
      <c r="AA31" s="82"/>
      <c r="AC31" s="82"/>
      <c r="AE31" s="82"/>
      <c r="AG31" s="82"/>
      <c r="AH31" s="79">
        <f t="shared" si="1"/>
        <v>38</v>
      </c>
      <c r="AI31" s="35" t="s">
        <v>69</v>
      </c>
    </row>
    <row r="32" ht="15.75" customHeight="1">
      <c r="A32" s="67">
        <v>24.0</v>
      </c>
      <c r="B32" s="36">
        <v>0.0</v>
      </c>
      <c r="C32" s="81"/>
      <c r="E32" s="82"/>
      <c r="G32" s="82"/>
      <c r="I32" s="82"/>
      <c r="K32" s="82"/>
      <c r="M32" s="82"/>
      <c r="O32" s="82"/>
      <c r="Q32" s="82"/>
      <c r="S32" s="82"/>
      <c r="U32" s="82"/>
      <c r="W32" s="82"/>
      <c r="Y32" s="82"/>
      <c r="AA32" s="82"/>
      <c r="AC32" s="82"/>
      <c r="AE32" s="82"/>
      <c r="AG32" s="82"/>
      <c r="AH32" s="79">
        <f t="shared" si="1"/>
        <v>0</v>
      </c>
      <c r="AI32" s="35" t="s">
        <v>69</v>
      </c>
    </row>
    <row r="33" ht="15.75" customHeight="1">
      <c r="A33" s="67">
        <v>25.0</v>
      </c>
      <c r="B33" s="36">
        <v>33.0</v>
      </c>
      <c r="C33" s="81"/>
      <c r="E33" s="82"/>
      <c r="G33" s="82"/>
      <c r="I33" s="82"/>
      <c r="K33" s="82"/>
      <c r="M33" s="82"/>
      <c r="O33" s="82"/>
      <c r="Q33" s="82"/>
      <c r="S33" s="82"/>
      <c r="U33" s="82"/>
      <c r="W33" s="82"/>
      <c r="Y33" s="82"/>
      <c r="AA33" s="82"/>
      <c r="AC33" s="82"/>
      <c r="AE33" s="82"/>
      <c r="AG33" s="82"/>
      <c r="AH33" s="79">
        <f t="shared" si="1"/>
        <v>33</v>
      </c>
      <c r="AI33" s="35" t="s">
        <v>69</v>
      </c>
    </row>
    <row r="34" ht="15.75" customHeight="1">
      <c r="A34" s="67">
        <v>26.0</v>
      </c>
      <c r="B34" s="36">
        <v>0.0</v>
      </c>
      <c r="C34" s="81"/>
      <c r="E34" s="82"/>
      <c r="G34" s="82"/>
      <c r="I34" s="82"/>
      <c r="K34" s="82"/>
      <c r="M34" s="82"/>
      <c r="O34" s="82"/>
      <c r="Q34" s="82"/>
      <c r="S34" s="82"/>
      <c r="U34" s="82"/>
      <c r="W34" s="82"/>
      <c r="Y34" s="82"/>
      <c r="AA34" s="82"/>
      <c r="AC34" s="82"/>
      <c r="AE34" s="82"/>
      <c r="AG34" s="82"/>
      <c r="AH34" s="79">
        <f t="shared" si="1"/>
        <v>0</v>
      </c>
      <c r="AI34" s="35" t="s">
        <v>69</v>
      </c>
    </row>
    <row r="35" ht="15.75" customHeight="1">
      <c r="A35" s="67">
        <v>27.0</v>
      </c>
      <c r="B35" s="36">
        <v>26.0</v>
      </c>
      <c r="C35" s="81"/>
      <c r="E35" s="82"/>
      <c r="G35" s="82"/>
      <c r="I35" s="82"/>
      <c r="K35" s="82"/>
      <c r="M35" s="82"/>
      <c r="O35" s="82"/>
      <c r="Q35" s="82"/>
      <c r="S35" s="82"/>
      <c r="U35" s="82"/>
      <c r="W35" s="82"/>
      <c r="Y35" s="82"/>
      <c r="AA35" s="82"/>
      <c r="AC35" s="82"/>
      <c r="AE35" s="82"/>
      <c r="AG35" s="82"/>
      <c r="AH35" s="79">
        <f t="shared" si="1"/>
        <v>26</v>
      </c>
      <c r="AI35" s="35" t="s">
        <v>69</v>
      </c>
    </row>
    <row r="36" ht="15.75" customHeight="1">
      <c r="A36" s="67">
        <v>28.0</v>
      </c>
      <c r="B36" s="36">
        <v>0.0</v>
      </c>
      <c r="C36" s="81"/>
      <c r="E36" s="82"/>
      <c r="G36" s="82"/>
      <c r="I36" s="82"/>
      <c r="K36" s="82"/>
      <c r="M36" s="82"/>
      <c r="O36" s="82"/>
      <c r="Q36" s="82"/>
      <c r="S36" s="82"/>
      <c r="U36" s="82"/>
      <c r="W36" s="82"/>
      <c r="Y36" s="82"/>
      <c r="AA36" s="82"/>
      <c r="AC36" s="82"/>
      <c r="AE36" s="82"/>
      <c r="AG36" s="82"/>
      <c r="AH36" s="79">
        <f t="shared" si="1"/>
        <v>0</v>
      </c>
      <c r="AI36" s="35" t="s">
        <v>69</v>
      </c>
    </row>
    <row r="37" ht="15.75" customHeight="1">
      <c r="A37" s="67">
        <v>29.0</v>
      </c>
      <c r="B37" s="36">
        <v>14.0</v>
      </c>
      <c r="C37" s="81"/>
      <c r="E37" s="82"/>
      <c r="G37" s="82"/>
      <c r="I37" s="82"/>
      <c r="K37" s="82"/>
      <c r="M37" s="82"/>
      <c r="O37" s="82"/>
      <c r="Q37" s="82"/>
      <c r="S37" s="82"/>
      <c r="U37" s="82"/>
      <c r="W37" s="82"/>
      <c r="Y37" s="82"/>
      <c r="AA37" s="82"/>
      <c r="AC37" s="82"/>
      <c r="AE37" s="82"/>
      <c r="AG37" s="82"/>
      <c r="AH37" s="79">
        <f t="shared" si="1"/>
        <v>14</v>
      </c>
      <c r="AI37" s="35" t="s">
        <v>69</v>
      </c>
    </row>
    <row r="38" ht="15.75" customHeight="1">
      <c r="A38" s="67">
        <v>30.0</v>
      </c>
      <c r="B38" s="36">
        <v>10.0</v>
      </c>
      <c r="C38" s="81"/>
      <c r="E38" s="82"/>
      <c r="G38" s="82"/>
      <c r="I38" s="82"/>
      <c r="K38" s="82"/>
      <c r="M38" s="82"/>
      <c r="O38" s="82"/>
      <c r="Q38" s="82"/>
      <c r="S38" s="82"/>
      <c r="U38" s="82"/>
      <c r="W38" s="82"/>
      <c r="Y38" s="82"/>
      <c r="AA38" s="82"/>
      <c r="AC38" s="82"/>
      <c r="AE38" s="82"/>
      <c r="AG38" s="82"/>
      <c r="AH38" s="79">
        <f t="shared" si="1"/>
        <v>10</v>
      </c>
      <c r="AI38" s="35" t="s">
        <v>69</v>
      </c>
    </row>
    <row r="39" ht="15.75" customHeight="1">
      <c r="A39" s="67">
        <v>31.0</v>
      </c>
      <c r="B39" s="36">
        <v>0.0</v>
      </c>
      <c r="C39" s="81"/>
      <c r="E39" s="82"/>
      <c r="G39" s="82"/>
      <c r="I39" s="82"/>
      <c r="K39" s="82"/>
      <c r="M39" s="82"/>
      <c r="O39" s="82"/>
      <c r="Q39" s="82"/>
      <c r="S39" s="82"/>
      <c r="U39" s="82"/>
      <c r="W39" s="82"/>
      <c r="Y39" s="82"/>
      <c r="AA39" s="82"/>
      <c r="AC39" s="82"/>
      <c r="AE39" s="82"/>
      <c r="AG39" s="82"/>
      <c r="AH39" s="79">
        <f t="shared" si="1"/>
        <v>0</v>
      </c>
      <c r="AI39" s="35" t="s">
        <v>69</v>
      </c>
    </row>
    <row r="40" ht="15.75" customHeight="1">
      <c r="A40" s="67">
        <v>32.0</v>
      </c>
      <c r="B40" s="36">
        <v>228.0</v>
      </c>
      <c r="C40" s="81"/>
      <c r="E40" s="82"/>
      <c r="G40" s="82"/>
      <c r="I40" s="82"/>
      <c r="K40" s="82"/>
      <c r="M40" s="82"/>
      <c r="O40" s="82"/>
      <c r="Q40" s="82"/>
      <c r="S40" s="82"/>
      <c r="U40" s="82"/>
      <c r="W40" s="82"/>
      <c r="Y40" s="82"/>
      <c r="AA40" s="82"/>
      <c r="AC40" s="82"/>
      <c r="AE40" s="82"/>
      <c r="AG40" s="82"/>
      <c r="AH40" s="79">
        <f t="shared" si="1"/>
        <v>228</v>
      </c>
      <c r="AI40" s="35" t="s">
        <v>69</v>
      </c>
    </row>
    <row r="41" ht="15.75" customHeight="1">
      <c r="A41" s="67">
        <v>33.0</v>
      </c>
      <c r="B41" s="36">
        <v>0.0</v>
      </c>
      <c r="C41" s="81"/>
      <c r="E41" s="82"/>
      <c r="G41" s="82"/>
      <c r="I41" s="82"/>
      <c r="K41" s="82"/>
      <c r="M41" s="82"/>
      <c r="O41" s="82"/>
      <c r="Q41" s="82"/>
      <c r="S41" s="82"/>
      <c r="U41" s="82"/>
      <c r="W41" s="82"/>
      <c r="Y41" s="82"/>
      <c r="AA41" s="82"/>
      <c r="AC41" s="82"/>
      <c r="AE41" s="82"/>
      <c r="AG41" s="82"/>
      <c r="AH41" s="79">
        <f t="shared" si="1"/>
        <v>0</v>
      </c>
      <c r="AI41" s="35" t="s">
        <v>69</v>
      </c>
    </row>
    <row r="42" ht="15.75" customHeight="1">
      <c r="A42" s="67">
        <v>34.0</v>
      </c>
      <c r="B42" s="36">
        <v>58.0</v>
      </c>
      <c r="C42" s="81"/>
      <c r="E42" s="82"/>
      <c r="G42" s="82"/>
      <c r="I42" s="82"/>
      <c r="K42" s="82"/>
      <c r="M42" s="82"/>
      <c r="O42" s="82"/>
      <c r="Q42" s="82"/>
      <c r="S42" s="82"/>
      <c r="U42" s="82"/>
      <c r="W42" s="82"/>
      <c r="Y42" s="82"/>
      <c r="AA42" s="82"/>
      <c r="AC42" s="82"/>
      <c r="AE42" s="82"/>
      <c r="AG42" s="82"/>
      <c r="AH42" s="79">
        <f t="shared" si="1"/>
        <v>58</v>
      </c>
      <c r="AI42" s="35" t="s">
        <v>69</v>
      </c>
    </row>
    <row r="43" ht="15.75" customHeight="1">
      <c r="A43" s="67">
        <v>35.0</v>
      </c>
      <c r="B43" s="36">
        <v>96.0</v>
      </c>
      <c r="C43" s="81"/>
      <c r="E43" s="82"/>
      <c r="G43" s="82"/>
      <c r="I43" s="82"/>
      <c r="K43" s="82"/>
      <c r="M43" s="82"/>
      <c r="O43" s="82"/>
      <c r="Q43" s="82"/>
      <c r="S43" s="82"/>
      <c r="U43" s="82"/>
      <c r="W43" s="82"/>
      <c r="Y43" s="82"/>
      <c r="AA43" s="82"/>
      <c r="AC43" s="82"/>
      <c r="AE43" s="82"/>
      <c r="AG43" s="82"/>
      <c r="AH43" s="79">
        <f t="shared" si="1"/>
        <v>96</v>
      </c>
      <c r="AI43" s="35" t="s">
        <v>69</v>
      </c>
    </row>
    <row r="44" ht="15.75" customHeight="1">
      <c r="A44" s="67">
        <v>36.0</v>
      </c>
      <c r="B44" s="36">
        <v>0.0</v>
      </c>
      <c r="C44" s="81"/>
      <c r="E44" s="82"/>
      <c r="G44" s="82"/>
      <c r="I44" s="82"/>
      <c r="K44" s="82"/>
      <c r="M44" s="82"/>
      <c r="O44" s="82"/>
      <c r="Q44" s="82"/>
      <c r="S44" s="82"/>
      <c r="U44" s="82"/>
      <c r="W44" s="82"/>
      <c r="Y44" s="82"/>
      <c r="AA44" s="82"/>
      <c r="AC44" s="82"/>
      <c r="AE44" s="82"/>
      <c r="AG44" s="82"/>
      <c r="AH44" s="79">
        <f t="shared" si="1"/>
        <v>0</v>
      </c>
      <c r="AI44" s="35" t="s">
        <v>69</v>
      </c>
    </row>
    <row r="45" ht="15.75" customHeight="1">
      <c r="A45" s="67">
        <v>37.0</v>
      </c>
      <c r="B45" s="36">
        <v>39.0</v>
      </c>
      <c r="C45" s="81"/>
      <c r="E45" s="82"/>
      <c r="G45" s="82"/>
      <c r="I45" s="82"/>
      <c r="K45" s="82"/>
      <c r="M45" s="82"/>
      <c r="O45" s="82"/>
      <c r="Q45" s="82"/>
      <c r="S45" s="82"/>
      <c r="U45" s="82"/>
      <c r="W45" s="82"/>
      <c r="Y45" s="82"/>
      <c r="AA45" s="82"/>
      <c r="AC45" s="82"/>
      <c r="AE45" s="82"/>
      <c r="AG45" s="82"/>
      <c r="AH45" s="79">
        <f t="shared" si="1"/>
        <v>39</v>
      </c>
      <c r="AI45" s="35" t="s">
        <v>69</v>
      </c>
    </row>
    <row r="46" ht="15.75" customHeight="1">
      <c r="A46" s="67">
        <v>38.0</v>
      </c>
      <c r="B46" s="36">
        <v>119.0</v>
      </c>
      <c r="C46" s="81"/>
      <c r="E46" s="82"/>
      <c r="G46" s="82"/>
      <c r="I46" s="82"/>
      <c r="K46" s="82"/>
      <c r="M46" s="82"/>
      <c r="O46" s="82"/>
      <c r="Q46" s="82"/>
      <c r="S46" s="82"/>
      <c r="U46" s="82"/>
      <c r="W46" s="82"/>
      <c r="Y46" s="82"/>
      <c r="AA46" s="82"/>
      <c r="AC46" s="82"/>
      <c r="AE46" s="82"/>
      <c r="AG46" s="82"/>
      <c r="AH46" s="79">
        <f t="shared" si="1"/>
        <v>119</v>
      </c>
      <c r="AI46" s="35" t="s">
        <v>69</v>
      </c>
    </row>
    <row r="47" ht="15.75" customHeight="1">
      <c r="A47" s="67">
        <v>39.0</v>
      </c>
      <c r="B47" s="36">
        <v>0.0</v>
      </c>
      <c r="C47" s="81"/>
      <c r="E47" s="82"/>
      <c r="G47" s="82"/>
      <c r="I47" s="82"/>
      <c r="K47" s="82"/>
      <c r="M47" s="82"/>
      <c r="O47" s="82"/>
      <c r="Q47" s="82"/>
      <c r="S47" s="82"/>
      <c r="U47" s="82"/>
      <c r="W47" s="82"/>
      <c r="Y47" s="82"/>
      <c r="AA47" s="82"/>
      <c r="AC47" s="82"/>
      <c r="AE47" s="82"/>
      <c r="AG47" s="82"/>
      <c r="AH47" s="79">
        <f t="shared" si="1"/>
        <v>0</v>
      </c>
      <c r="AI47" s="35" t="s">
        <v>69</v>
      </c>
    </row>
    <row r="48" ht="15.75" customHeight="1">
      <c r="A48" s="67">
        <v>40.0</v>
      </c>
      <c r="B48" s="36">
        <v>0.0</v>
      </c>
      <c r="C48" s="81"/>
      <c r="E48" s="82"/>
      <c r="G48" s="82"/>
      <c r="I48" s="82"/>
      <c r="K48" s="82"/>
      <c r="M48" s="82"/>
      <c r="O48" s="82"/>
      <c r="Q48" s="82"/>
      <c r="S48" s="82"/>
      <c r="U48" s="82"/>
      <c r="W48" s="82"/>
      <c r="Y48" s="82"/>
      <c r="AA48" s="82"/>
      <c r="AC48" s="82"/>
      <c r="AE48" s="82"/>
      <c r="AG48" s="82"/>
      <c r="AH48" s="79">
        <f t="shared" si="1"/>
        <v>0</v>
      </c>
      <c r="AI48" s="35" t="s">
        <v>69</v>
      </c>
    </row>
    <row r="49" ht="15.75" customHeight="1">
      <c r="A49" s="67">
        <v>41.0</v>
      </c>
      <c r="B49" s="36">
        <v>0.0</v>
      </c>
      <c r="C49" s="81"/>
      <c r="E49" s="82"/>
      <c r="G49" s="82"/>
      <c r="I49" s="82"/>
      <c r="K49" s="82"/>
      <c r="M49" s="82"/>
      <c r="O49" s="82"/>
      <c r="Q49" s="82"/>
      <c r="S49" s="82"/>
      <c r="U49" s="82"/>
      <c r="W49" s="82"/>
      <c r="Y49" s="82"/>
      <c r="AA49" s="82"/>
      <c r="AC49" s="82"/>
      <c r="AE49" s="82"/>
      <c r="AG49" s="82"/>
      <c r="AH49" s="79">
        <f t="shared" si="1"/>
        <v>0</v>
      </c>
      <c r="AI49" s="35" t="s">
        <v>69</v>
      </c>
    </row>
    <row r="50" ht="15.75" customHeight="1">
      <c r="A50" s="67">
        <v>42.0</v>
      </c>
      <c r="B50" s="36">
        <v>0.0</v>
      </c>
      <c r="C50" s="81"/>
      <c r="E50" s="82"/>
      <c r="G50" s="82"/>
      <c r="I50" s="82"/>
      <c r="K50" s="82"/>
      <c r="M50" s="82"/>
      <c r="O50" s="82"/>
      <c r="Q50" s="82"/>
      <c r="S50" s="82"/>
      <c r="U50" s="82"/>
      <c r="W50" s="82"/>
      <c r="Y50" s="82"/>
      <c r="AA50" s="82"/>
      <c r="AC50" s="82"/>
      <c r="AE50" s="82"/>
      <c r="AG50" s="82"/>
      <c r="AH50" s="79">
        <f t="shared" si="1"/>
        <v>0</v>
      </c>
      <c r="AI50" s="35" t="s">
        <v>69</v>
      </c>
    </row>
    <row r="51" ht="15.75" customHeight="1">
      <c r="A51" s="67">
        <v>43.0</v>
      </c>
      <c r="B51" s="36">
        <v>0.0</v>
      </c>
      <c r="C51" s="81"/>
      <c r="E51" s="82"/>
      <c r="G51" s="82"/>
      <c r="I51" s="82"/>
      <c r="K51" s="82"/>
      <c r="M51" s="82"/>
      <c r="O51" s="82"/>
      <c r="Q51" s="82"/>
      <c r="S51" s="82"/>
      <c r="U51" s="82"/>
      <c r="W51" s="82"/>
      <c r="Y51" s="82"/>
      <c r="AA51" s="82"/>
      <c r="AC51" s="82"/>
      <c r="AE51" s="82"/>
      <c r="AG51" s="82"/>
      <c r="AH51" s="79">
        <f t="shared" si="1"/>
        <v>0</v>
      </c>
      <c r="AI51" s="35" t="s">
        <v>69</v>
      </c>
    </row>
    <row r="52" ht="15.75" customHeight="1">
      <c r="A52" s="67">
        <v>44.0</v>
      </c>
      <c r="B52" s="36">
        <v>0.0</v>
      </c>
      <c r="C52" s="81"/>
      <c r="E52" s="82"/>
      <c r="G52" s="82"/>
      <c r="I52" s="82"/>
      <c r="K52" s="82"/>
      <c r="M52" s="82"/>
      <c r="O52" s="82"/>
      <c r="Q52" s="82"/>
      <c r="S52" s="82"/>
      <c r="U52" s="82"/>
      <c r="W52" s="82"/>
      <c r="Y52" s="82"/>
      <c r="AA52" s="82"/>
      <c r="AC52" s="82"/>
      <c r="AE52" s="82"/>
      <c r="AG52" s="82"/>
      <c r="AH52" s="79">
        <f t="shared" si="1"/>
        <v>0</v>
      </c>
      <c r="AI52" s="35" t="s">
        <v>69</v>
      </c>
    </row>
    <row r="53" ht="15.75" customHeight="1">
      <c r="A53" s="67">
        <v>45.0</v>
      </c>
      <c r="B53" s="36">
        <v>0.0</v>
      </c>
      <c r="C53" s="81"/>
      <c r="E53" s="82"/>
      <c r="G53" s="82"/>
      <c r="I53" s="82"/>
      <c r="K53" s="82"/>
      <c r="M53" s="82"/>
      <c r="O53" s="82"/>
      <c r="Q53" s="82"/>
      <c r="S53" s="82"/>
      <c r="U53" s="82"/>
      <c r="W53" s="82"/>
      <c r="Y53" s="82"/>
      <c r="AA53" s="82"/>
      <c r="AC53" s="82"/>
      <c r="AE53" s="82"/>
      <c r="AG53" s="82"/>
      <c r="AH53" s="79">
        <f t="shared" si="1"/>
        <v>0</v>
      </c>
      <c r="AI53" s="35" t="s">
        <v>69</v>
      </c>
    </row>
    <row r="54" ht="15.75" customHeight="1">
      <c r="A54" s="67">
        <v>46.0</v>
      </c>
      <c r="B54" s="36">
        <v>0.0</v>
      </c>
      <c r="C54" s="81"/>
      <c r="E54" s="82"/>
      <c r="G54" s="82"/>
      <c r="I54" s="82"/>
      <c r="K54" s="82"/>
      <c r="M54" s="82"/>
      <c r="O54" s="82"/>
      <c r="Q54" s="82"/>
      <c r="S54" s="82"/>
      <c r="U54" s="82"/>
      <c r="W54" s="82"/>
      <c r="Y54" s="82"/>
      <c r="AA54" s="82"/>
      <c r="AC54" s="82"/>
      <c r="AE54" s="82"/>
      <c r="AG54" s="82"/>
      <c r="AH54" s="79">
        <f t="shared" si="1"/>
        <v>0</v>
      </c>
      <c r="AI54" s="35" t="s">
        <v>69</v>
      </c>
    </row>
    <row r="55" ht="15.75" customHeight="1">
      <c r="A55" s="67">
        <v>47.0</v>
      </c>
      <c r="B55" s="36">
        <v>0.0</v>
      </c>
      <c r="C55" s="81"/>
      <c r="E55" s="82"/>
      <c r="G55" s="82"/>
      <c r="I55" s="82"/>
      <c r="K55" s="82"/>
      <c r="M55" s="82"/>
      <c r="O55" s="82"/>
      <c r="Q55" s="82"/>
      <c r="S55" s="82"/>
      <c r="U55" s="82"/>
      <c r="W55" s="82"/>
      <c r="Y55" s="82"/>
      <c r="AA55" s="82"/>
      <c r="AC55" s="82"/>
      <c r="AE55" s="82"/>
      <c r="AG55" s="82"/>
      <c r="AH55" s="79">
        <f t="shared" si="1"/>
        <v>0</v>
      </c>
      <c r="AI55" s="35" t="s">
        <v>69</v>
      </c>
    </row>
    <row r="56" ht="15.75" customHeight="1">
      <c r="A56" s="67">
        <v>48.0</v>
      </c>
      <c r="B56" s="36">
        <v>78.0</v>
      </c>
      <c r="C56" s="81"/>
      <c r="E56" s="82"/>
      <c r="G56" s="82"/>
      <c r="I56" s="82"/>
      <c r="K56" s="82"/>
      <c r="M56" s="82"/>
      <c r="O56" s="82"/>
      <c r="Q56" s="82"/>
      <c r="S56" s="82"/>
      <c r="U56" s="82"/>
      <c r="W56" s="82"/>
      <c r="Y56" s="82"/>
      <c r="AA56" s="82"/>
      <c r="AC56" s="82"/>
      <c r="AE56" s="82"/>
      <c r="AG56" s="82"/>
      <c r="AH56" s="79">
        <f t="shared" si="1"/>
        <v>78</v>
      </c>
      <c r="AI56" s="35" t="s">
        <v>69</v>
      </c>
    </row>
    <row r="57" ht="15.75" customHeight="1">
      <c r="A57" s="67">
        <v>49.0</v>
      </c>
      <c r="B57" s="36">
        <v>108.0</v>
      </c>
      <c r="C57" s="81"/>
      <c r="E57" s="82"/>
      <c r="G57" s="82"/>
      <c r="I57" s="82"/>
      <c r="K57" s="82"/>
      <c r="M57" s="82"/>
      <c r="O57" s="82"/>
      <c r="Q57" s="82"/>
      <c r="S57" s="82"/>
      <c r="U57" s="82"/>
      <c r="W57" s="82"/>
      <c r="Y57" s="82"/>
      <c r="AA57" s="82"/>
      <c r="AC57" s="82"/>
      <c r="AE57" s="82"/>
      <c r="AG57" s="82"/>
      <c r="AH57" s="79">
        <f t="shared" si="1"/>
        <v>108</v>
      </c>
      <c r="AI57" s="35" t="s">
        <v>69</v>
      </c>
    </row>
    <row r="58" ht="15.75" customHeight="1">
      <c r="A58" s="67">
        <v>50.0</v>
      </c>
      <c r="B58" s="36">
        <v>88.0</v>
      </c>
      <c r="C58" s="81"/>
      <c r="E58" s="82"/>
      <c r="G58" s="82"/>
      <c r="I58" s="82"/>
      <c r="K58" s="82"/>
      <c r="M58" s="82"/>
      <c r="O58" s="82"/>
      <c r="Q58" s="82"/>
      <c r="S58" s="82"/>
      <c r="U58" s="82"/>
      <c r="W58" s="82"/>
      <c r="Y58" s="82"/>
      <c r="AA58" s="82"/>
      <c r="AC58" s="82"/>
      <c r="AE58" s="82"/>
      <c r="AG58" s="82"/>
      <c r="AH58" s="79">
        <f t="shared" si="1"/>
        <v>88</v>
      </c>
      <c r="AI58" s="35" t="s">
        <v>69</v>
      </c>
    </row>
    <row r="59" ht="15.75" customHeight="1">
      <c r="A59" s="67">
        <v>51.0</v>
      </c>
      <c r="B59" s="36">
        <v>14.0</v>
      </c>
      <c r="C59" s="81"/>
      <c r="E59" s="82"/>
      <c r="G59" s="82"/>
      <c r="I59" s="82"/>
      <c r="K59" s="82"/>
      <c r="M59" s="82"/>
      <c r="O59" s="82"/>
      <c r="Q59" s="82"/>
      <c r="S59" s="82"/>
      <c r="U59" s="82"/>
      <c r="W59" s="82"/>
      <c r="Y59" s="82"/>
      <c r="AA59" s="82"/>
      <c r="AC59" s="82"/>
      <c r="AE59" s="82"/>
      <c r="AG59" s="82"/>
      <c r="AH59" s="79">
        <f t="shared" si="1"/>
        <v>14</v>
      </c>
      <c r="AI59" s="35" t="s">
        <v>69</v>
      </c>
    </row>
    <row r="60" ht="15.75" customHeight="1">
      <c r="A60" s="67">
        <v>52.0</v>
      </c>
      <c r="B60" s="36">
        <v>20.0</v>
      </c>
      <c r="C60" s="81"/>
      <c r="E60" s="82"/>
      <c r="G60" s="82"/>
      <c r="I60" s="82"/>
      <c r="K60" s="82"/>
      <c r="M60" s="82"/>
      <c r="O60" s="82"/>
      <c r="Q60" s="82"/>
      <c r="S60" s="82"/>
      <c r="U60" s="82"/>
      <c r="W60" s="82"/>
      <c r="Y60" s="82"/>
      <c r="AA60" s="82"/>
      <c r="AC60" s="82"/>
      <c r="AE60" s="82"/>
      <c r="AG60" s="82"/>
      <c r="AH60" s="79">
        <f t="shared" si="1"/>
        <v>20</v>
      </c>
      <c r="AI60" s="35" t="s">
        <v>69</v>
      </c>
    </row>
    <row r="61" ht="15.75" customHeight="1">
      <c r="A61" s="67">
        <v>53.0</v>
      </c>
      <c r="B61" s="36"/>
      <c r="C61" s="81"/>
      <c r="E61" s="82"/>
      <c r="G61" s="82"/>
      <c r="I61" s="82"/>
      <c r="K61" s="82"/>
      <c r="M61" s="82"/>
      <c r="O61" s="82"/>
      <c r="Q61" s="82"/>
      <c r="S61" s="82"/>
      <c r="U61" s="82"/>
      <c r="W61" s="82"/>
      <c r="Y61" s="82"/>
      <c r="AA61" s="82"/>
      <c r="AC61" s="82"/>
      <c r="AE61" s="82"/>
      <c r="AG61" s="82"/>
      <c r="AH61" s="79">
        <f t="shared" si="1"/>
        <v>0</v>
      </c>
      <c r="AI61" s="35" t="s">
        <v>69</v>
      </c>
    </row>
    <row r="62" ht="15.75" customHeight="1">
      <c r="A62" s="67">
        <v>54.0</v>
      </c>
      <c r="B62" s="36">
        <v>60.0</v>
      </c>
      <c r="C62" s="81"/>
      <c r="E62" s="82"/>
      <c r="G62" s="82"/>
      <c r="I62" s="82"/>
      <c r="K62" s="82"/>
      <c r="M62" s="82"/>
      <c r="O62" s="82"/>
      <c r="Q62" s="82"/>
      <c r="S62" s="82"/>
      <c r="U62" s="82"/>
      <c r="W62" s="82"/>
      <c r="Y62" s="82"/>
      <c r="AA62" s="82"/>
      <c r="AC62" s="82"/>
      <c r="AE62" s="82"/>
      <c r="AG62" s="82"/>
      <c r="AH62" s="79">
        <f t="shared" si="1"/>
        <v>60</v>
      </c>
      <c r="AI62" s="35" t="s">
        <v>69</v>
      </c>
    </row>
    <row r="63" ht="15.75" customHeight="1">
      <c r="A63" s="67">
        <v>55.0</v>
      </c>
      <c r="B63" s="36">
        <v>0.0</v>
      </c>
      <c r="C63" s="81"/>
      <c r="E63" s="82"/>
      <c r="G63" s="82"/>
      <c r="I63" s="82"/>
      <c r="K63" s="82"/>
      <c r="M63" s="82"/>
      <c r="O63" s="82"/>
      <c r="Q63" s="82"/>
      <c r="S63" s="82"/>
      <c r="U63" s="82"/>
      <c r="W63" s="82"/>
      <c r="Y63" s="82"/>
      <c r="AA63" s="82"/>
      <c r="AC63" s="82"/>
      <c r="AE63" s="82"/>
      <c r="AG63" s="82"/>
      <c r="AH63" s="79">
        <f t="shared" si="1"/>
        <v>0</v>
      </c>
      <c r="AI63" s="35" t="s">
        <v>69</v>
      </c>
    </row>
    <row r="64" ht="15.75" customHeight="1">
      <c r="A64" s="67">
        <v>56.0</v>
      </c>
      <c r="B64" s="36">
        <v>106.0</v>
      </c>
      <c r="C64" s="81"/>
      <c r="E64" s="82"/>
      <c r="G64" s="82"/>
      <c r="I64" s="82"/>
      <c r="K64" s="82"/>
      <c r="M64" s="82"/>
      <c r="O64" s="82"/>
      <c r="Q64" s="82"/>
      <c r="S64" s="82"/>
      <c r="U64" s="82"/>
      <c r="W64" s="82"/>
      <c r="Y64" s="82"/>
      <c r="AA64" s="82"/>
      <c r="AC64" s="82"/>
      <c r="AE64" s="82"/>
      <c r="AG64" s="82"/>
      <c r="AH64" s="79">
        <f t="shared" si="1"/>
        <v>106</v>
      </c>
      <c r="AI64" s="35" t="s">
        <v>69</v>
      </c>
    </row>
    <row r="65" ht="15.75" customHeight="1">
      <c r="A65" s="67">
        <v>57.0</v>
      </c>
      <c r="B65" s="36">
        <v>0.0</v>
      </c>
      <c r="C65" s="81"/>
      <c r="E65" s="82"/>
      <c r="G65" s="82"/>
      <c r="I65" s="82"/>
      <c r="K65" s="82"/>
      <c r="M65" s="82"/>
      <c r="O65" s="82"/>
      <c r="Q65" s="82"/>
      <c r="S65" s="82"/>
      <c r="U65" s="82"/>
      <c r="W65" s="82"/>
      <c r="Y65" s="82"/>
      <c r="AA65" s="82"/>
      <c r="AC65" s="82"/>
      <c r="AE65" s="82"/>
      <c r="AG65" s="82"/>
      <c r="AH65" s="79">
        <f t="shared" si="1"/>
        <v>0</v>
      </c>
      <c r="AI65" s="35" t="s">
        <v>69</v>
      </c>
    </row>
    <row r="66" ht="15.75" customHeight="1">
      <c r="A66" s="67">
        <v>58.0</v>
      </c>
      <c r="B66" s="36">
        <v>0.0</v>
      </c>
      <c r="C66" s="81"/>
      <c r="E66" s="82"/>
      <c r="G66" s="82"/>
      <c r="I66" s="82"/>
      <c r="K66" s="82"/>
      <c r="M66" s="82"/>
      <c r="O66" s="82"/>
      <c r="Q66" s="82"/>
      <c r="S66" s="82"/>
      <c r="U66" s="82"/>
      <c r="W66" s="82"/>
      <c r="Y66" s="82"/>
      <c r="AA66" s="82"/>
      <c r="AC66" s="82"/>
      <c r="AE66" s="82"/>
      <c r="AG66" s="82"/>
      <c r="AH66" s="79">
        <f t="shared" si="1"/>
        <v>0</v>
      </c>
      <c r="AI66" s="35" t="s">
        <v>69</v>
      </c>
    </row>
    <row r="67" ht="15.75" customHeight="1">
      <c r="A67" s="67">
        <v>59.0</v>
      </c>
      <c r="B67" s="36">
        <v>16.0</v>
      </c>
      <c r="C67" s="81"/>
      <c r="E67" s="82"/>
      <c r="G67" s="82"/>
      <c r="I67" s="82"/>
      <c r="K67" s="82"/>
      <c r="M67" s="82"/>
      <c r="O67" s="82"/>
      <c r="Q67" s="82"/>
      <c r="S67" s="82"/>
      <c r="U67" s="82"/>
      <c r="W67" s="82"/>
      <c r="Y67" s="82"/>
      <c r="AA67" s="82"/>
      <c r="AC67" s="82"/>
      <c r="AE67" s="82"/>
      <c r="AG67" s="82"/>
      <c r="AH67" s="79">
        <f t="shared" si="1"/>
        <v>16</v>
      </c>
      <c r="AI67" s="35" t="s">
        <v>69</v>
      </c>
    </row>
    <row r="68" ht="15.75" customHeight="1">
      <c r="A68" s="67">
        <v>60.0</v>
      </c>
      <c r="B68" s="36">
        <v>8.0</v>
      </c>
      <c r="C68" s="81"/>
      <c r="E68" s="82"/>
      <c r="G68" s="82"/>
      <c r="I68" s="82"/>
      <c r="K68" s="82"/>
      <c r="M68" s="82"/>
      <c r="O68" s="82"/>
      <c r="Q68" s="82"/>
      <c r="S68" s="82"/>
      <c r="U68" s="82"/>
      <c r="W68" s="82"/>
      <c r="Y68" s="82"/>
      <c r="AA68" s="82"/>
      <c r="AC68" s="82"/>
      <c r="AE68" s="82"/>
      <c r="AG68" s="82"/>
      <c r="AH68" s="79">
        <f t="shared" si="1"/>
        <v>8</v>
      </c>
      <c r="AI68" s="35" t="s">
        <v>69</v>
      </c>
    </row>
    <row r="69" ht="15.75" customHeight="1">
      <c r="A69" s="67">
        <v>61.0</v>
      </c>
      <c r="B69" s="36">
        <v>0.0</v>
      </c>
      <c r="C69" s="81"/>
      <c r="E69" s="82"/>
      <c r="G69" s="82"/>
      <c r="I69" s="82"/>
      <c r="K69" s="82"/>
      <c r="M69" s="82"/>
      <c r="O69" s="82"/>
      <c r="Q69" s="82"/>
      <c r="S69" s="82"/>
      <c r="U69" s="82"/>
      <c r="V69" s="19">
        <v>50.0</v>
      </c>
      <c r="W69" s="82"/>
      <c r="Y69" s="82"/>
      <c r="AA69" s="82"/>
      <c r="AC69" s="82"/>
      <c r="AE69" s="82"/>
      <c r="AG69" s="82"/>
      <c r="AH69" s="79">
        <f t="shared" si="1"/>
        <v>50</v>
      </c>
      <c r="AI69" s="35" t="s">
        <v>69</v>
      </c>
    </row>
    <row r="70" ht="15.75" customHeight="1">
      <c r="A70" s="67">
        <v>62.0</v>
      </c>
      <c r="B70" s="36">
        <v>57.0</v>
      </c>
      <c r="C70" s="81"/>
      <c r="E70" s="82"/>
      <c r="G70" s="82"/>
      <c r="I70" s="82"/>
      <c r="K70" s="82"/>
      <c r="M70" s="82"/>
      <c r="O70" s="82"/>
      <c r="Q70" s="82"/>
      <c r="S70" s="82"/>
      <c r="U70" s="82"/>
      <c r="W70" s="82"/>
      <c r="Y70" s="82"/>
      <c r="AA70" s="82"/>
      <c r="AC70" s="82"/>
      <c r="AE70" s="82"/>
      <c r="AG70" s="82"/>
      <c r="AH70" s="79">
        <f t="shared" si="1"/>
        <v>57</v>
      </c>
      <c r="AI70" s="35" t="s">
        <v>69</v>
      </c>
    </row>
    <row r="71" ht="15.75" customHeight="1">
      <c r="A71" s="67">
        <v>63.0</v>
      </c>
      <c r="B71" s="36">
        <v>86.0</v>
      </c>
      <c r="C71" s="81"/>
      <c r="E71" s="82"/>
      <c r="G71" s="82"/>
      <c r="I71" s="82"/>
      <c r="K71" s="82"/>
      <c r="M71" s="82"/>
      <c r="O71" s="82"/>
      <c r="Q71" s="82"/>
      <c r="S71" s="82"/>
      <c r="U71" s="82"/>
      <c r="W71" s="82"/>
      <c r="Y71" s="82"/>
      <c r="AA71" s="82"/>
      <c r="AC71" s="82"/>
      <c r="AE71" s="82"/>
      <c r="AG71" s="82"/>
      <c r="AH71" s="79">
        <f t="shared" si="1"/>
        <v>86</v>
      </c>
      <c r="AI71" s="35" t="s">
        <v>69</v>
      </c>
    </row>
    <row r="72" ht="15.75" customHeight="1">
      <c r="A72" s="67">
        <v>64.0</v>
      </c>
      <c r="B72" s="36">
        <v>0.0</v>
      </c>
      <c r="C72" s="81"/>
      <c r="E72" s="82"/>
      <c r="G72" s="82"/>
      <c r="I72" s="82"/>
      <c r="K72" s="82"/>
      <c r="M72" s="82"/>
      <c r="O72" s="82"/>
      <c r="Q72" s="82"/>
      <c r="S72" s="82"/>
      <c r="U72" s="82"/>
      <c r="W72" s="82"/>
      <c r="Y72" s="82"/>
      <c r="AA72" s="82"/>
      <c r="AC72" s="82"/>
      <c r="AE72" s="82"/>
      <c r="AG72" s="82"/>
      <c r="AH72" s="79">
        <f t="shared" si="1"/>
        <v>0</v>
      </c>
      <c r="AI72" s="35" t="s">
        <v>69</v>
      </c>
    </row>
    <row r="73" ht="15.75" customHeight="1">
      <c r="A73" s="67">
        <v>65.0</v>
      </c>
      <c r="B73" s="36">
        <v>0.0</v>
      </c>
      <c r="C73" s="81"/>
      <c r="E73" s="82"/>
      <c r="G73" s="82"/>
      <c r="I73" s="82"/>
      <c r="K73" s="82"/>
      <c r="M73" s="82"/>
      <c r="O73" s="82"/>
      <c r="Q73" s="82"/>
      <c r="S73" s="82"/>
      <c r="U73" s="82"/>
      <c r="W73" s="82"/>
      <c r="Y73" s="82"/>
      <c r="AA73" s="82"/>
      <c r="AC73" s="82"/>
      <c r="AE73" s="82"/>
      <c r="AG73" s="82"/>
      <c r="AH73" s="79">
        <f t="shared" si="1"/>
        <v>0</v>
      </c>
      <c r="AI73" s="35" t="s">
        <v>69</v>
      </c>
    </row>
    <row r="74" ht="15.75" customHeight="1">
      <c r="A74" s="67">
        <v>66.0</v>
      </c>
      <c r="B74" s="36">
        <v>0.0</v>
      </c>
      <c r="C74" s="81"/>
      <c r="E74" s="82"/>
      <c r="G74" s="82"/>
      <c r="I74" s="82"/>
      <c r="K74" s="82"/>
      <c r="M74" s="82"/>
      <c r="O74" s="82"/>
      <c r="Q74" s="82"/>
      <c r="S74" s="82"/>
      <c r="U74" s="82"/>
      <c r="W74" s="82"/>
      <c r="Y74" s="82"/>
      <c r="AA74" s="82"/>
      <c r="AC74" s="82"/>
      <c r="AE74" s="82"/>
      <c r="AG74" s="82"/>
      <c r="AH74" s="79">
        <f t="shared" si="1"/>
        <v>0</v>
      </c>
      <c r="AI74" s="35" t="s">
        <v>69</v>
      </c>
    </row>
    <row r="75" ht="15.75" customHeight="1">
      <c r="A75" s="67">
        <v>67.0</v>
      </c>
      <c r="B75" s="36">
        <v>359.0</v>
      </c>
      <c r="C75" s="81"/>
      <c r="E75" s="82"/>
      <c r="G75" s="82"/>
      <c r="I75" s="82"/>
      <c r="K75" s="82"/>
      <c r="M75" s="82"/>
      <c r="O75" s="82"/>
      <c r="Q75" s="82"/>
      <c r="S75" s="82"/>
      <c r="U75" s="82"/>
      <c r="W75" s="82"/>
      <c r="Y75" s="82"/>
      <c r="AA75" s="82"/>
      <c r="AC75" s="82"/>
      <c r="AE75" s="82"/>
      <c r="AG75" s="82"/>
      <c r="AH75" s="79">
        <f t="shared" si="1"/>
        <v>359</v>
      </c>
      <c r="AI75" s="35" t="s">
        <v>69</v>
      </c>
    </row>
    <row r="76" ht="15.75" customHeight="1">
      <c r="A76" s="67">
        <v>68.0</v>
      </c>
      <c r="B76" s="36">
        <v>1.0</v>
      </c>
      <c r="C76" s="81"/>
      <c r="E76" s="82"/>
      <c r="G76" s="82"/>
      <c r="I76" s="82"/>
      <c r="K76" s="82"/>
      <c r="M76" s="82"/>
      <c r="O76" s="82"/>
      <c r="Q76" s="82"/>
      <c r="S76" s="82"/>
      <c r="U76" s="82"/>
      <c r="W76" s="82"/>
      <c r="Y76" s="82"/>
      <c r="AA76" s="82"/>
      <c r="AC76" s="82"/>
      <c r="AE76" s="82"/>
      <c r="AG76" s="82"/>
      <c r="AH76" s="79">
        <f t="shared" si="1"/>
        <v>1</v>
      </c>
      <c r="AI76" s="35" t="s">
        <v>69</v>
      </c>
    </row>
    <row r="77" ht="15.75" customHeight="1">
      <c r="A77" s="67">
        <v>70.0</v>
      </c>
      <c r="B77" s="36">
        <v>5.0</v>
      </c>
      <c r="C77" s="81"/>
      <c r="E77" s="82"/>
      <c r="G77" s="82"/>
      <c r="I77" s="82"/>
      <c r="K77" s="82"/>
      <c r="M77" s="82"/>
      <c r="O77" s="82"/>
      <c r="Q77" s="82"/>
      <c r="S77" s="82"/>
      <c r="U77" s="82"/>
      <c r="W77" s="82"/>
      <c r="Y77" s="82"/>
      <c r="AA77" s="82"/>
      <c r="AC77" s="82"/>
      <c r="AE77" s="82"/>
      <c r="AG77" s="82"/>
      <c r="AH77" s="79">
        <f t="shared" si="1"/>
        <v>5</v>
      </c>
      <c r="AI77" s="35" t="s">
        <v>69</v>
      </c>
    </row>
    <row r="78" ht="15.75" customHeight="1">
      <c r="A78" s="67">
        <v>71.0</v>
      </c>
      <c r="B78" s="36">
        <v>91.0</v>
      </c>
      <c r="C78" s="81"/>
      <c r="E78" s="82"/>
      <c r="G78" s="82"/>
      <c r="I78" s="82"/>
      <c r="K78" s="82"/>
      <c r="M78" s="82"/>
      <c r="O78" s="82"/>
      <c r="Q78" s="82"/>
      <c r="S78" s="82"/>
      <c r="U78" s="82"/>
      <c r="W78" s="82"/>
      <c r="Y78" s="82"/>
      <c r="AA78" s="82"/>
      <c r="AC78" s="82"/>
      <c r="AE78" s="82"/>
      <c r="AG78" s="82"/>
      <c r="AH78" s="79">
        <f t="shared" si="1"/>
        <v>91</v>
      </c>
      <c r="AI78" s="35" t="s">
        <v>69</v>
      </c>
    </row>
    <row r="79" ht="15.75" customHeight="1">
      <c r="A79" s="67">
        <v>72.0</v>
      </c>
      <c r="B79" s="36">
        <v>16.0</v>
      </c>
      <c r="C79" s="81"/>
      <c r="E79" s="82"/>
      <c r="G79" s="82"/>
      <c r="I79" s="82"/>
      <c r="K79" s="82"/>
      <c r="M79" s="82"/>
      <c r="O79" s="82"/>
      <c r="Q79" s="82"/>
      <c r="S79" s="82"/>
      <c r="U79" s="82"/>
      <c r="W79" s="82"/>
      <c r="Y79" s="82"/>
      <c r="AA79" s="82"/>
      <c r="AC79" s="82"/>
      <c r="AE79" s="82"/>
      <c r="AG79" s="82"/>
      <c r="AH79" s="79">
        <f t="shared" si="1"/>
        <v>16</v>
      </c>
      <c r="AI79" s="35" t="s">
        <v>69</v>
      </c>
    </row>
    <row r="80" ht="15.75" customHeight="1">
      <c r="A80" s="67">
        <v>73.0</v>
      </c>
      <c r="B80" s="36">
        <v>25.0</v>
      </c>
      <c r="C80" s="81"/>
      <c r="E80" s="82"/>
      <c r="G80" s="82"/>
      <c r="I80" s="82"/>
      <c r="K80" s="82"/>
      <c r="M80" s="82"/>
      <c r="O80" s="82"/>
      <c r="Q80" s="82"/>
      <c r="S80" s="82"/>
      <c r="U80" s="82"/>
      <c r="W80" s="82"/>
      <c r="Y80" s="82"/>
      <c r="AA80" s="82"/>
      <c r="AC80" s="82"/>
      <c r="AE80" s="82"/>
      <c r="AG80" s="82"/>
      <c r="AH80" s="79">
        <f t="shared" si="1"/>
        <v>25</v>
      </c>
      <c r="AI80" s="35" t="s">
        <v>69</v>
      </c>
    </row>
    <row r="81" ht="15.75" customHeight="1">
      <c r="A81" s="67">
        <v>74.0</v>
      </c>
      <c r="B81" s="36">
        <v>94.0</v>
      </c>
      <c r="C81" s="81"/>
      <c r="E81" s="82"/>
      <c r="G81" s="82"/>
      <c r="I81" s="82"/>
      <c r="K81" s="82"/>
      <c r="M81" s="82"/>
      <c r="O81" s="82"/>
      <c r="Q81" s="82"/>
      <c r="S81" s="82"/>
      <c r="U81" s="82"/>
      <c r="W81" s="82"/>
      <c r="Y81" s="82"/>
      <c r="AA81" s="82"/>
      <c r="AC81" s="82"/>
      <c r="AE81" s="82"/>
      <c r="AG81" s="82"/>
      <c r="AH81" s="79">
        <f t="shared" si="1"/>
        <v>94</v>
      </c>
      <c r="AI81" s="35" t="s">
        <v>69</v>
      </c>
    </row>
    <row r="82" ht="15.75" customHeight="1">
      <c r="A82" s="67">
        <v>75.0</v>
      </c>
      <c r="B82" s="36">
        <v>0.0</v>
      </c>
      <c r="C82" s="81"/>
      <c r="E82" s="82"/>
      <c r="G82" s="82"/>
      <c r="I82" s="82"/>
      <c r="K82" s="82"/>
      <c r="M82" s="82"/>
      <c r="O82" s="82"/>
      <c r="Q82" s="82"/>
      <c r="S82" s="82"/>
      <c r="U82" s="82"/>
      <c r="W82" s="82"/>
      <c r="Y82" s="82"/>
      <c r="AA82" s="82"/>
      <c r="AC82" s="82"/>
      <c r="AE82" s="82"/>
      <c r="AG82" s="82"/>
      <c r="AH82" s="79">
        <f t="shared" si="1"/>
        <v>0</v>
      </c>
      <c r="AI82" s="35" t="s">
        <v>69</v>
      </c>
    </row>
    <row r="83" ht="15.75" customHeight="1">
      <c r="A83" s="67">
        <v>76.0</v>
      </c>
      <c r="B83" s="36">
        <v>324.0</v>
      </c>
      <c r="C83" s="81"/>
      <c r="E83" s="82"/>
      <c r="G83" s="82"/>
      <c r="I83" s="82"/>
      <c r="K83" s="82"/>
      <c r="M83" s="82"/>
      <c r="O83" s="82"/>
      <c r="Q83" s="82"/>
      <c r="S83" s="82"/>
      <c r="U83" s="82"/>
      <c r="W83" s="82"/>
      <c r="Y83" s="82"/>
      <c r="AA83" s="82"/>
      <c r="AC83" s="82"/>
      <c r="AE83" s="82"/>
      <c r="AG83" s="82"/>
      <c r="AH83" s="79">
        <f t="shared" si="1"/>
        <v>324</v>
      </c>
      <c r="AI83" s="35" t="s">
        <v>69</v>
      </c>
    </row>
    <row r="84" ht="15.75" customHeight="1">
      <c r="A84" s="67">
        <v>77.0</v>
      </c>
      <c r="B84" s="36">
        <v>0.0</v>
      </c>
      <c r="C84" s="81"/>
      <c r="E84" s="82"/>
      <c r="G84" s="82"/>
      <c r="I84" s="82"/>
      <c r="K84" s="82"/>
      <c r="M84" s="82"/>
      <c r="O84" s="82"/>
      <c r="Q84" s="82"/>
      <c r="S84" s="82"/>
      <c r="U84" s="82"/>
      <c r="W84" s="82"/>
      <c r="Y84" s="82"/>
      <c r="AA84" s="82"/>
      <c r="AC84" s="82"/>
      <c r="AE84" s="82"/>
      <c r="AG84" s="82"/>
      <c r="AH84" s="79">
        <f t="shared" si="1"/>
        <v>0</v>
      </c>
      <c r="AI84" s="35" t="s">
        <v>69</v>
      </c>
    </row>
    <row r="85" ht="15.75" customHeight="1">
      <c r="A85" s="67">
        <v>78.0</v>
      </c>
      <c r="B85" s="36">
        <v>0.0</v>
      </c>
      <c r="C85" s="81"/>
      <c r="E85" s="82"/>
      <c r="G85" s="82"/>
      <c r="I85" s="82"/>
      <c r="K85" s="82"/>
      <c r="M85" s="82"/>
      <c r="O85" s="82"/>
      <c r="Q85" s="82"/>
      <c r="S85" s="82"/>
      <c r="U85" s="82"/>
      <c r="W85" s="82"/>
      <c r="Y85" s="82"/>
      <c r="AA85" s="82"/>
      <c r="AC85" s="82"/>
      <c r="AE85" s="82"/>
      <c r="AG85" s="82"/>
      <c r="AH85" s="79">
        <f t="shared" si="1"/>
        <v>0</v>
      </c>
      <c r="AI85" s="35" t="s">
        <v>69</v>
      </c>
    </row>
    <row r="86" ht="15.75" customHeight="1">
      <c r="A86" s="67">
        <v>79.0</v>
      </c>
      <c r="B86" s="36">
        <v>13.0</v>
      </c>
      <c r="C86" s="81"/>
      <c r="E86" s="82"/>
      <c r="G86" s="82"/>
      <c r="I86" s="82"/>
      <c r="K86" s="82"/>
      <c r="M86" s="82"/>
      <c r="O86" s="82"/>
      <c r="Q86" s="82"/>
      <c r="S86" s="82"/>
      <c r="U86" s="82"/>
      <c r="W86" s="82"/>
      <c r="Y86" s="82"/>
      <c r="AA86" s="82"/>
      <c r="AC86" s="82"/>
      <c r="AE86" s="82"/>
      <c r="AG86" s="82"/>
      <c r="AH86" s="79">
        <f t="shared" si="1"/>
        <v>13</v>
      </c>
      <c r="AI86" s="35" t="s">
        <v>69</v>
      </c>
    </row>
    <row r="87" ht="15.75" customHeight="1">
      <c r="A87" s="67">
        <v>80.0</v>
      </c>
      <c r="B87" s="36">
        <v>0.0</v>
      </c>
      <c r="C87" s="81"/>
      <c r="E87" s="82"/>
      <c r="G87" s="82"/>
      <c r="I87" s="82"/>
      <c r="K87" s="82"/>
      <c r="M87" s="82"/>
      <c r="O87" s="82"/>
      <c r="Q87" s="82"/>
      <c r="S87" s="82"/>
      <c r="U87" s="82"/>
      <c r="W87" s="82"/>
      <c r="Y87" s="82"/>
      <c r="AA87" s="82"/>
      <c r="AC87" s="82"/>
      <c r="AE87" s="82"/>
      <c r="AG87" s="82"/>
      <c r="AH87" s="79">
        <f t="shared" si="1"/>
        <v>0</v>
      </c>
      <c r="AI87" s="35" t="s">
        <v>69</v>
      </c>
    </row>
    <row r="88" ht="15.75" customHeight="1">
      <c r="A88" s="67">
        <v>81.0</v>
      </c>
      <c r="B88" s="36">
        <v>20.0</v>
      </c>
      <c r="C88" s="81"/>
      <c r="E88" s="82"/>
      <c r="G88" s="82"/>
      <c r="I88" s="82"/>
      <c r="K88" s="82"/>
      <c r="M88" s="82"/>
      <c r="O88" s="82"/>
      <c r="Q88" s="82"/>
      <c r="S88" s="82"/>
      <c r="U88" s="82"/>
      <c r="W88" s="82"/>
      <c r="Y88" s="82"/>
      <c r="AA88" s="82"/>
      <c r="AC88" s="82"/>
      <c r="AE88" s="82"/>
      <c r="AG88" s="82"/>
      <c r="AH88" s="79">
        <f t="shared" si="1"/>
        <v>20</v>
      </c>
      <c r="AI88" s="35" t="s">
        <v>69</v>
      </c>
    </row>
    <row r="89" ht="15.75" customHeight="1">
      <c r="A89" s="67">
        <v>82.0</v>
      </c>
      <c r="B89" s="36">
        <v>11.0</v>
      </c>
      <c r="C89" s="81"/>
      <c r="E89" s="82"/>
      <c r="G89" s="82"/>
      <c r="I89" s="82"/>
      <c r="K89" s="82"/>
      <c r="M89" s="82"/>
      <c r="O89" s="82"/>
      <c r="Q89" s="82"/>
      <c r="S89" s="82"/>
      <c r="U89" s="82"/>
      <c r="W89" s="82"/>
      <c r="Y89" s="82"/>
      <c r="AA89" s="82"/>
      <c r="AC89" s="82"/>
      <c r="AE89" s="82"/>
      <c r="AG89" s="82"/>
      <c r="AH89" s="79">
        <f t="shared" si="1"/>
        <v>11</v>
      </c>
      <c r="AI89" s="35" t="s">
        <v>69</v>
      </c>
    </row>
    <row r="90" ht="15.75" customHeight="1">
      <c r="A90" s="135"/>
      <c r="B90" s="49"/>
      <c r="C90" s="133"/>
      <c r="E90" s="82"/>
      <c r="G90" s="82"/>
      <c r="I90" s="82"/>
      <c r="K90" s="82"/>
      <c r="M90" s="82"/>
      <c r="O90" s="82"/>
      <c r="Q90" s="82"/>
      <c r="S90" s="82"/>
      <c r="U90" s="82"/>
      <c r="W90" s="82"/>
      <c r="Y90" s="82"/>
      <c r="AA90" s="82"/>
      <c r="AC90" s="82"/>
      <c r="AE90" s="82"/>
      <c r="AG90" s="82"/>
      <c r="AH90" s="79">
        <f t="shared" si="1"/>
        <v>0</v>
      </c>
      <c r="AI90" s="35" t="s">
        <v>69</v>
      </c>
    </row>
    <row r="91" ht="15.75" customHeight="1">
      <c r="A91" s="135"/>
      <c r="B91" s="49"/>
      <c r="C91" s="133"/>
      <c r="E91" s="82"/>
      <c r="G91" s="82"/>
      <c r="I91" s="82"/>
      <c r="K91" s="82"/>
      <c r="M91" s="82"/>
      <c r="O91" s="82"/>
      <c r="Q91" s="82"/>
      <c r="S91" s="82"/>
      <c r="U91" s="82"/>
      <c r="W91" s="82"/>
      <c r="Y91" s="82"/>
      <c r="AA91" s="82"/>
      <c r="AC91" s="82"/>
      <c r="AE91" s="82"/>
      <c r="AG91" s="82"/>
      <c r="AH91" s="79">
        <f t="shared" si="1"/>
        <v>0</v>
      </c>
      <c r="AI91" s="35" t="s">
        <v>69</v>
      </c>
    </row>
    <row r="92" ht="15.75" customHeight="1">
      <c r="A92" s="135"/>
      <c r="B92" s="49"/>
      <c r="C92" s="133"/>
      <c r="E92" s="82"/>
      <c r="G92" s="82"/>
      <c r="I92" s="82"/>
      <c r="K92" s="82"/>
      <c r="M92" s="82"/>
      <c r="O92" s="82"/>
      <c r="Q92" s="82"/>
      <c r="S92" s="82"/>
      <c r="U92" s="82"/>
      <c r="W92" s="82"/>
      <c r="Y92" s="82"/>
      <c r="AA92" s="82"/>
      <c r="AC92" s="82"/>
      <c r="AE92" s="82"/>
      <c r="AG92" s="82"/>
      <c r="AH92" s="79">
        <f t="shared" si="1"/>
        <v>0</v>
      </c>
      <c r="AI92" s="35" t="s">
        <v>69</v>
      </c>
    </row>
    <row r="93" ht="15.75" customHeight="1">
      <c r="A93" s="135"/>
      <c r="B93" s="49"/>
      <c r="C93" s="133"/>
      <c r="E93" s="82"/>
      <c r="G93" s="82"/>
      <c r="I93" s="82"/>
      <c r="K93" s="82"/>
      <c r="M93" s="82"/>
      <c r="O93" s="82"/>
      <c r="Q93" s="82"/>
      <c r="S93" s="82"/>
      <c r="U93" s="82"/>
      <c r="W93" s="82"/>
      <c r="Y93" s="82"/>
      <c r="AA93" s="82"/>
      <c r="AC93" s="82"/>
      <c r="AE93" s="82"/>
      <c r="AG93" s="82"/>
      <c r="AH93" s="79">
        <f t="shared" si="1"/>
        <v>0</v>
      </c>
      <c r="AI93" s="35" t="s">
        <v>69</v>
      </c>
    </row>
    <row r="94" ht="15.75" customHeight="1">
      <c r="A94" s="135"/>
      <c r="B94" s="49"/>
      <c r="C94" s="133"/>
      <c r="E94" s="82"/>
      <c r="G94" s="82"/>
      <c r="I94" s="82"/>
      <c r="K94" s="82"/>
      <c r="M94" s="82"/>
      <c r="O94" s="82"/>
      <c r="Q94" s="82"/>
      <c r="S94" s="82"/>
      <c r="U94" s="82"/>
      <c r="W94" s="82"/>
      <c r="Y94" s="82"/>
      <c r="AA94" s="82"/>
      <c r="AC94" s="82"/>
      <c r="AE94" s="82"/>
      <c r="AG94" s="82"/>
      <c r="AH94" s="79">
        <f t="shared" si="1"/>
        <v>0</v>
      </c>
      <c r="AI94" s="35" t="s">
        <v>69</v>
      </c>
    </row>
    <row r="95" ht="15.75" customHeight="1">
      <c r="A95" s="252"/>
      <c r="C95" s="82"/>
      <c r="E95" s="82"/>
      <c r="G95" s="82"/>
      <c r="I95" s="82"/>
      <c r="K95" s="82"/>
      <c r="M95" s="82"/>
      <c r="O95" s="82"/>
      <c r="Q95" s="82"/>
      <c r="S95" s="82"/>
      <c r="U95" s="82"/>
      <c r="W95" s="82"/>
      <c r="Y95" s="82"/>
      <c r="AA95" s="82"/>
      <c r="AC95" s="82"/>
      <c r="AE95" s="82"/>
      <c r="AG95" s="82"/>
      <c r="AH95" s="79">
        <f t="shared" si="1"/>
        <v>0</v>
      </c>
      <c r="AI95" s="35" t="s">
        <v>69</v>
      </c>
    </row>
    <row r="96" ht="15.75" customHeight="1">
      <c r="A96" s="253"/>
      <c r="AH96" s="79"/>
    </row>
    <row r="97" ht="15.75" customHeight="1">
      <c r="A97" s="254" t="s">
        <v>331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9"/>
      <c r="AH97" s="79"/>
    </row>
    <row r="98" ht="15.75" customHeight="1"/>
    <row r="99" ht="15.75" customHeight="1">
      <c r="A99" s="255" t="s">
        <v>25</v>
      </c>
      <c r="B99" s="256"/>
      <c r="C99" s="41">
        <v>1.0</v>
      </c>
      <c r="D99" s="35">
        <v>2.0</v>
      </c>
      <c r="E99" s="41">
        <v>3.0</v>
      </c>
      <c r="F99" s="35">
        <v>4.0</v>
      </c>
      <c r="G99" s="41">
        <v>5.0</v>
      </c>
      <c r="H99" s="35">
        <v>6.0</v>
      </c>
      <c r="I99" s="41">
        <v>7.0</v>
      </c>
      <c r="J99" s="35">
        <v>8.0</v>
      </c>
      <c r="K99" s="41">
        <v>9.0</v>
      </c>
      <c r="L99" s="35">
        <v>10.0</v>
      </c>
      <c r="M99" s="41">
        <v>11.0</v>
      </c>
      <c r="N99" s="35">
        <v>12.0</v>
      </c>
      <c r="O99" s="41">
        <v>13.0</v>
      </c>
      <c r="P99" s="35">
        <v>14.0</v>
      </c>
      <c r="Q99" s="41">
        <v>15.0</v>
      </c>
      <c r="R99" s="35">
        <v>16.0</v>
      </c>
      <c r="S99" s="41">
        <v>17.0</v>
      </c>
      <c r="T99" s="35">
        <v>18.0</v>
      </c>
      <c r="U99" s="41">
        <v>19.0</v>
      </c>
      <c r="V99" s="35">
        <v>20.0</v>
      </c>
      <c r="W99" s="41">
        <v>21.0</v>
      </c>
      <c r="X99" s="35">
        <v>22.0</v>
      </c>
      <c r="Y99" s="41">
        <v>23.0</v>
      </c>
      <c r="Z99" s="35">
        <v>24.0</v>
      </c>
      <c r="AA99" s="41">
        <v>25.0</v>
      </c>
      <c r="AB99" s="35">
        <v>26.0</v>
      </c>
      <c r="AC99" s="41">
        <v>27.0</v>
      </c>
      <c r="AD99" s="35">
        <v>28.0</v>
      </c>
      <c r="AE99" s="41">
        <v>29.0</v>
      </c>
      <c r="AF99" s="35">
        <v>30.0</v>
      </c>
      <c r="AG99" s="41">
        <v>31.0</v>
      </c>
      <c r="AH99" s="48" t="s">
        <v>291</v>
      </c>
    </row>
    <row r="100" ht="15.75" customHeight="1">
      <c r="A100" s="257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9"/>
    </row>
    <row r="101" ht="15.75" customHeight="1">
      <c r="A101" s="67">
        <v>1.0</v>
      </c>
      <c r="B101" s="36">
        <v>0.0</v>
      </c>
      <c r="C101" s="259"/>
      <c r="E101" s="82"/>
      <c r="G101" s="82"/>
      <c r="I101" s="82"/>
      <c r="K101" s="82"/>
      <c r="M101" s="82"/>
      <c r="O101" s="82"/>
      <c r="Q101" s="82"/>
      <c r="S101" s="82"/>
      <c r="U101" s="82"/>
      <c r="W101" s="82"/>
      <c r="Y101" s="82"/>
      <c r="AA101" s="82"/>
      <c r="AC101" s="82"/>
      <c r="AE101" s="82"/>
      <c r="AG101" s="82"/>
      <c r="AH101" s="48">
        <f t="shared" ref="AH101:AH124" si="2">SUM(B101:AG101)</f>
        <v>0</v>
      </c>
    </row>
    <row r="102" ht="15.75" customHeight="1">
      <c r="A102" s="67">
        <v>2.0</v>
      </c>
      <c r="B102" s="36">
        <v>0.0</v>
      </c>
      <c r="C102" s="259"/>
      <c r="E102" s="82"/>
      <c r="G102" s="82"/>
      <c r="I102" s="82"/>
      <c r="K102" s="82"/>
      <c r="M102" s="82"/>
      <c r="O102" s="82"/>
      <c r="Q102" s="82"/>
      <c r="S102" s="82"/>
      <c r="U102" s="82"/>
      <c r="W102" s="82"/>
      <c r="Y102" s="82"/>
      <c r="AA102" s="82"/>
      <c r="AC102" s="82"/>
      <c r="AE102" s="82"/>
      <c r="AG102" s="82"/>
      <c r="AH102" s="48">
        <f t="shared" si="2"/>
        <v>0</v>
      </c>
    </row>
    <row r="103" ht="15.75" customHeight="1">
      <c r="A103" s="67">
        <v>3.0</v>
      </c>
      <c r="B103" s="36">
        <v>95.0</v>
      </c>
      <c r="C103" s="259"/>
      <c r="E103" s="82"/>
      <c r="G103" s="82"/>
      <c r="I103" s="82"/>
      <c r="K103" s="82"/>
      <c r="M103" s="82"/>
      <c r="O103" s="82"/>
      <c r="Q103" s="82"/>
      <c r="S103" s="82"/>
      <c r="U103" s="82"/>
      <c r="W103" s="82"/>
      <c r="Y103" s="82"/>
      <c r="AA103" s="82"/>
      <c r="AC103" s="82"/>
      <c r="AE103" s="82"/>
      <c r="AG103" s="82"/>
      <c r="AH103" s="48">
        <f t="shared" si="2"/>
        <v>95</v>
      </c>
    </row>
    <row r="104" ht="15.75" customHeight="1">
      <c r="A104" s="67">
        <v>4.0</v>
      </c>
      <c r="B104" s="36">
        <v>0.0</v>
      </c>
      <c r="C104" s="259"/>
      <c r="E104" s="82"/>
      <c r="G104" s="82"/>
      <c r="I104" s="82"/>
      <c r="K104" s="82"/>
      <c r="M104" s="82"/>
      <c r="O104" s="82"/>
      <c r="Q104" s="82"/>
      <c r="S104" s="82"/>
      <c r="U104" s="82"/>
      <c r="W104" s="82"/>
      <c r="Y104" s="82"/>
      <c r="AA104" s="82"/>
      <c r="AC104" s="82"/>
      <c r="AE104" s="82"/>
      <c r="AG104" s="82"/>
      <c r="AH104" s="48">
        <f t="shared" si="2"/>
        <v>0</v>
      </c>
    </row>
    <row r="105" ht="15.75" customHeight="1">
      <c r="A105" s="67">
        <v>5.0</v>
      </c>
      <c r="B105" s="36">
        <v>143.0</v>
      </c>
      <c r="C105" s="259"/>
      <c r="E105" s="82"/>
      <c r="G105" s="82"/>
      <c r="I105" s="82"/>
      <c r="K105" s="82"/>
      <c r="M105" s="82"/>
      <c r="O105" s="82"/>
      <c r="Q105" s="82"/>
      <c r="S105" s="82"/>
      <c r="U105" s="82"/>
      <c r="W105" s="82"/>
      <c r="Y105" s="82"/>
      <c r="AA105" s="82"/>
      <c r="AC105" s="82"/>
      <c r="AE105" s="82"/>
      <c r="AG105" s="82"/>
      <c r="AH105" s="48">
        <f t="shared" si="2"/>
        <v>143</v>
      </c>
    </row>
    <row r="106" ht="15.75" customHeight="1">
      <c r="A106" s="67">
        <v>6.0</v>
      </c>
      <c r="B106" s="36">
        <v>0.0</v>
      </c>
      <c r="C106" s="259"/>
      <c r="E106" s="82"/>
      <c r="G106" s="82"/>
      <c r="I106" s="82"/>
      <c r="K106" s="82"/>
      <c r="M106" s="82"/>
      <c r="O106" s="82"/>
      <c r="Q106" s="82"/>
      <c r="S106" s="82"/>
      <c r="U106" s="82"/>
      <c r="W106" s="82"/>
      <c r="Y106" s="82"/>
      <c r="AA106" s="82"/>
      <c r="AC106" s="82"/>
      <c r="AE106" s="82"/>
      <c r="AG106" s="82"/>
      <c r="AH106" s="48">
        <f t="shared" si="2"/>
        <v>0</v>
      </c>
    </row>
    <row r="107" ht="15.75" customHeight="1">
      <c r="A107" s="67">
        <v>7.0</v>
      </c>
      <c r="B107" s="36">
        <v>62.0</v>
      </c>
      <c r="C107" s="259"/>
      <c r="E107" s="82"/>
      <c r="G107" s="82"/>
      <c r="I107" s="82"/>
      <c r="K107" s="82"/>
      <c r="M107" s="82"/>
      <c r="O107" s="82"/>
      <c r="Q107" s="82"/>
      <c r="S107" s="82"/>
      <c r="U107" s="82"/>
      <c r="W107" s="82"/>
      <c r="Y107" s="82"/>
      <c r="AA107" s="82">
        <v>140.0</v>
      </c>
      <c r="AC107" s="82"/>
      <c r="AE107" s="82"/>
      <c r="AG107" s="82"/>
      <c r="AH107" s="48">
        <f t="shared" si="2"/>
        <v>202</v>
      </c>
    </row>
    <row r="108" ht="15.75" customHeight="1">
      <c r="A108" s="67">
        <v>8.0</v>
      </c>
      <c r="B108" s="36">
        <v>48.0</v>
      </c>
      <c r="C108" s="259"/>
      <c r="E108" s="82"/>
      <c r="G108" s="82"/>
      <c r="I108" s="82"/>
      <c r="K108" s="82"/>
      <c r="M108" s="82"/>
      <c r="O108" s="82"/>
      <c r="Q108" s="82"/>
      <c r="S108" s="82"/>
      <c r="U108" s="82"/>
      <c r="W108" s="82"/>
      <c r="Y108" s="82"/>
      <c r="AA108" s="82"/>
      <c r="AC108" s="82"/>
      <c r="AE108" s="82"/>
      <c r="AG108" s="82"/>
      <c r="AH108" s="48">
        <f t="shared" si="2"/>
        <v>48</v>
      </c>
    </row>
    <row r="109" ht="15.75" customHeight="1">
      <c r="A109" s="67">
        <v>9.0</v>
      </c>
      <c r="B109" s="36">
        <v>0.0</v>
      </c>
      <c r="C109" s="259"/>
      <c r="E109" s="82"/>
      <c r="G109" s="82"/>
      <c r="I109" s="82"/>
      <c r="K109" s="82"/>
      <c r="M109" s="82"/>
      <c r="O109" s="82"/>
      <c r="Q109" s="82"/>
      <c r="S109" s="82"/>
      <c r="U109" s="82"/>
      <c r="W109" s="82"/>
      <c r="Y109" s="82"/>
      <c r="AA109" s="82"/>
      <c r="AC109" s="82"/>
      <c r="AE109" s="82"/>
      <c r="AG109" s="82"/>
      <c r="AH109" s="48">
        <f t="shared" si="2"/>
        <v>0</v>
      </c>
    </row>
    <row r="110" ht="15.75" customHeight="1">
      <c r="A110" s="67">
        <v>10.0</v>
      </c>
      <c r="B110" s="36">
        <v>0.0</v>
      </c>
      <c r="C110" s="259"/>
      <c r="E110" s="82"/>
      <c r="G110" s="82"/>
      <c r="I110" s="82"/>
      <c r="K110" s="82"/>
      <c r="M110" s="82"/>
      <c r="O110" s="82"/>
      <c r="Q110" s="82"/>
      <c r="S110" s="82"/>
      <c r="U110" s="82"/>
      <c r="W110" s="82"/>
      <c r="Y110" s="82"/>
      <c r="AA110" s="82"/>
      <c r="AC110" s="82"/>
      <c r="AE110" s="82"/>
      <c r="AG110" s="82"/>
      <c r="AH110" s="48">
        <f t="shared" si="2"/>
        <v>0</v>
      </c>
    </row>
    <row r="111" ht="15.75" customHeight="1">
      <c r="A111" s="67">
        <v>11.0</v>
      </c>
      <c r="B111" s="36">
        <v>70.0</v>
      </c>
      <c r="C111" s="259"/>
      <c r="E111" s="82"/>
      <c r="G111" s="82"/>
      <c r="I111" s="82"/>
      <c r="K111" s="82"/>
      <c r="M111" s="82"/>
      <c r="O111" s="82"/>
      <c r="Q111" s="82"/>
      <c r="S111" s="82"/>
      <c r="U111" s="82"/>
      <c r="W111" s="82"/>
      <c r="Y111" s="82"/>
      <c r="AA111" s="82"/>
      <c r="AC111" s="82"/>
      <c r="AE111" s="82"/>
      <c r="AG111" s="82"/>
      <c r="AH111" s="48">
        <f t="shared" si="2"/>
        <v>70</v>
      </c>
    </row>
    <row r="112" ht="15.75" customHeight="1">
      <c r="A112" s="67">
        <v>12.0</v>
      </c>
      <c r="B112" s="36">
        <v>24.0</v>
      </c>
      <c r="C112" s="259"/>
      <c r="E112" s="82"/>
      <c r="G112" s="82"/>
      <c r="I112" s="82"/>
      <c r="K112" s="82"/>
      <c r="M112" s="82"/>
      <c r="O112" s="82"/>
      <c r="Q112" s="82"/>
      <c r="S112" s="82"/>
      <c r="U112" s="82"/>
      <c r="W112" s="82"/>
      <c r="Y112" s="82"/>
      <c r="AA112" s="82">
        <v>30.0</v>
      </c>
      <c r="AC112" s="82"/>
      <c r="AE112" s="82"/>
      <c r="AG112" s="82"/>
      <c r="AH112" s="48">
        <f t="shared" si="2"/>
        <v>54</v>
      </c>
    </row>
    <row r="113" ht="15.75" customHeight="1">
      <c r="A113" s="67">
        <v>13.0</v>
      </c>
      <c r="B113" s="36">
        <v>70.0</v>
      </c>
      <c r="C113" s="259"/>
      <c r="E113" s="82"/>
      <c r="G113" s="82"/>
      <c r="I113" s="82"/>
      <c r="K113" s="82"/>
      <c r="M113" s="82"/>
      <c r="O113" s="82"/>
      <c r="Q113" s="82"/>
      <c r="S113" s="82"/>
      <c r="U113" s="82"/>
      <c r="W113" s="82"/>
      <c r="Y113" s="82"/>
      <c r="AA113" s="82"/>
      <c r="AC113" s="82"/>
      <c r="AE113" s="82"/>
      <c r="AG113" s="82"/>
      <c r="AH113" s="48">
        <f t="shared" si="2"/>
        <v>70</v>
      </c>
    </row>
    <row r="114" ht="15.75" customHeight="1">
      <c r="A114" s="67">
        <v>14.0</v>
      </c>
      <c r="B114" s="36">
        <v>34.0</v>
      </c>
      <c r="C114" s="259"/>
      <c r="E114" s="82"/>
      <c r="G114" s="82"/>
      <c r="I114" s="82"/>
      <c r="K114" s="82"/>
      <c r="M114" s="82"/>
      <c r="O114" s="82"/>
      <c r="Q114" s="82"/>
      <c r="S114" s="82"/>
      <c r="U114" s="82"/>
      <c r="V114" s="19">
        <v>70.0</v>
      </c>
      <c r="W114" s="82"/>
      <c r="Y114" s="82"/>
      <c r="AA114" s="82"/>
      <c r="AC114" s="82"/>
      <c r="AE114" s="82"/>
      <c r="AG114" s="82"/>
      <c r="AH114" s="48">
        <f t="shared" si="2"/>
        <v>104</v>
      </c>
    </row>
    <row r="115" ht="15.75" customHeight="1">
      <c r="A115" s="67">
        <v>15.0</v>
      </c>
      <c r="B115" s="36">
        <v>42.0</v>
      </c>
      <c r="C115" s="259"/>
      <c r="E115" s="82"/>
      <c r="G115" s="82"/>
      <c r="I115" s="82"/>
      <c r="K115" s="82"/>
      <c r="M115" s="82"/>
      <c r="O115" s="82"/>
      <c r="Q115" s="82"/>
      <c r="S115" s="82"/>
      <c r="U115" s="82"/>
      <c r="W115" s="82"/>
      <c r="Y115" s="82"/>
      <c r="AA115" s="82"/>
      <c r="AC115" s="82"/>
      <c r="AE115" s="82"/>
      <c r="AG115" s="82"/>
      <c r="AH115" s="48">
        <f t="shared" si="2"/>
        <v>42</v>
      </c>
    </row>
    <row r="116" ht="15.75" customHeight="1">
      <c r="A116" s="67">
        <v>16.0</v>
      </c>
      <c r="B116" s="36">
        <v>8.0</v>
      </c>
      <c r="C116" s="259"/>
      <c r="E116" s="82"/>
      <c r="G116" s="82"/>
      <c r="I116" s="82"/>
      <c r="K116" s="82"/>
      <c r="M116" s="82"/>
      <c r="O116" s="82"/>
      <c r="Q116" s="82"/>
      <c r="S116" s="82"/>
      <c r="U116" s="82"/>
      <c r="V116" s="19">
        <v>1.0</v>
      </c>
      <c r="W116" s="82"/>
      <c r="Y116" s="82"/>
      <c r="AA116" s="82"/>
      <c r="AC116" s="82"/>
      <c r="AE116" s="82"/>
      <c r="AG116" s="82"/>
      <c r="AH116" s="48">
        <f t="shared" si="2"/>
        <v>9</v>
      </c>
    </row>
    <row r="117" ht="15.75" customHeight="1">
      <c r="A117" s="67">
        <v>17.0</v>
      </c>
      <c r="B117" s="36">
        <v>0.0</v>
      </c>
      <c r="C117" s="259"/>
      <c r="E117" s="82"/>
      <c r="G117" s="82"/>
      <c r="I117" s="82"/>
      <c r="K117" s="82"/>
      <c r="M117" s="82"/>
      <c r="O117" s="82"/>
      <c r="Q117" s="82"/>
      <c r="S117" s="82"/>
      <c r="U117" s="82"/>
      <c r="W117" s="82"/>
      <c r="Y117" s="82"/>
      <c r="AA117" s="82"/>
      <c r="AC117" s="82"/>
      <c r="AE117" s="82"/>
      <c r="AG117" s="82"/>
      <c r="AH117" s="48">
        <f t="shared" si="2"/>
        <v>0</v>
      </c>
    </row>
    <row r="118" ht="15.75" customHeight="1">
      <c r="A118" s="252"/>
      <c r="B118" s="35"/>
      <c r="C118" s="82"/>
      <c r="E118" s="82"/>
      <c r="G118" s="82"/>
      <c r="I118" s="82"/>
      <c r="K118" s="82"/>
      <c r="M118" s="82"/>
      <c r="O118" s="82"/>
      <c r="Q118" s="82"/>
      <c r="S118" s="82"/>
      <c r="U118" s="82"/>
      <c r="W118" s="82"/>
      <c r="Y118" s="82"/>
      <c r="AA118" s="82"/>
      <c r="AC118" s="82"/>
      <c r="AE118" s="82"/>
      <c r="AG118" s="82"/>
      <c r="AH118" s="48">
        <f t="shared" si="2"/>
        <v>0</v>
      </c>
    </row>
    <row r="119" ht="15.75" customHeight="1">
      <c r="A119" s="262"/>
      <c r="C119" s="82"/>
      <c r="E119" s="82"/>
      <c r="G119" s="82"/>
      <c r="I119" s="82"/>
      <c r="K119" s="82"/>
      <c r="M119" s="82"/>
      <c r="O119" s="82"/>
      <c r="Q119" s="82"/>
      <c r="S119" s="82"/>
      <c r="U119" s="82"/>
      <c r="W119" s="82"/>
      <c r="Y119" s="82"/>
      <c r="AA119" s="82"/>
      <c r="AC119" s="82"/>
      <c r="AE119" s="82"/>
      <c r="AG119" s="82"/>
      <c r="AH119" s="48">
        <f t="shared" si="2"/>
        <v>0</v>
      </c>
    </row>
    <row r="120" ht="15.75" customHeight="1">
      <c r="A120" s="262"/>
      <c r="C120" s="82"/>
      <c r="E120" s="82"/>
      <c r="G120" s="82"/>
      <c r="I120" s="82"/>
      <c r="K120" s="82"/>
      <c r="M120" s="82"/>
      <c r="O120" s="82"/>
      <c r="Q120" s="82"/>
      <c r="S120" s="82"/>
      <c r="U120" s="82"/>
      <c r="W120" s="82"/>
      <c r="Y120" s="82"/>
      <c r="AA120" s="82"/>
      <c r="AC120" s="82"/>
      <c r="AE120" s="82"/>
      <c r="AG120" s="82"/>
      <c r="AH120" s="48">
        <f t="shared" si="2"/>
        <v>0</v>
      </c>
    </row>
    <row r="121" ht="15.75" customHeight="1">
      <c r="A121" s="262"/>
      <c r="C121" s="82"/>
      <c r="E121" s="82"/>
      <c r="G121" s="82"/>
      <c r="I121" s="82"/>
      <c r="K121" s="82"/>
      <c r="M121" s="82"/>
      <c r="O121" s="82"/>
      <c r="Q121" s="82"/>
      <c r="S121" s="82"/>
      <c r="U121" s="82"/>
      <c r="W121" s="82"/>
      <c r="Y121" s="82"/>
      <c r="AA121" s="82"/>
      <c r="AC121" s="82"/>
      <c r="AE121" s="82"/>
      <c r="AG121" s="82"/>
      <c r="AH121" s="48">
        <f t="shared" si="2"/>
        <v>0</v>
      </c>
    </row>
    <row r="122" ht="15.75" customHeight="1">
      <c r="A122" s="262"/>
      <c r="C122" s="82"/>
      <c r="E122" s="82"/>
      <c r="G122" s="82"/>
      <c r="I122" s="82"/>
      <c r="K122" s="82"/>
      <c r="M122" s="82"/>
      <c r="O122" s="82"/>
      <c r="Q122" s="82"/>
      <c r="S122" s="82"/>
      <c r="U122" s="82"/>
      <c r="W122" s="82"/>
      <c r="Y122" s="82"/>
      <c r="AA122" s="82"/>
      <c r="AC122" s="82"/>
      <c r="AE122" s="82"/>
      <c r="AG122" s="82"/>
      <c r="AH122" s="48">
        <f t="shared" si="2"/>
        <v>0</v>
      </c>
    </row>
    <row r="123" ht="15.75" customHeight="1">
      <c r="A123" s="262"/>
      <c r="C123" s="82"/>
      <c r="E123" s="82"/>
      <c r="G123" s="82"/>
      <c r="I123" s="82"/>
      <c r="K123" s="82"/>
      <c r="M123" s="82"/>
      <c r="O123" s="82"/>
      <c r="Q123" s="82"/>
      <c r="S123" s="82"/>
      <c r="U123" s="82"/>
      <c r="W123" s="82"/>
      <c r="Y123" s="82"/>
      <c r="AA123" s="82"/>
      <c r="AC123" s="82"/>
      <c r="AE123" s="82"/>
      <c r="AG123" s="82"/>
      <c r="AH123" s="48">
        <f t="shared" si="2"/>
        <v>0</v>
      </c>
    </row>
    <row r="124" ht="15.75" customHeight="1">
      <c r="A124" s="262"/>
      <c r="C124" s="82"/>
      <c r="E124" s="82"/>
      <c r="G124" s="82"/>
      <c r="I124" s="82"/>
      <c r="K124" s="82"/>
      <c r="M124" s="82"/>
      <c r="O124" s="82"/>
      <c r="Q124" s="82"/>
      <c r="S124" s="82"/>
      <c r="U124" s="82"/>
      <c r="W124" s="82"/>
      <c r="Y124" s="82"/>
      <c r="AA124" s="82"/>
      <c r="AC124" s="82"/>
      <c r="AE124" s="82"/>
      <c r="AG124" s="82"/>
      <c r="AH124" s="48">
        <f t="shared" si="2"/>
        <v>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6:B27"/>
    <mergeCell ref="A97:AG97"/>
    <mergeCell ref="AH99:AI99"/>
    <mergeCell ref="A100:AI100"/>
    <mergeCell ref="I2:J2"/>
    <mergeCell ref="A3:N3"/>
    <mergeCell ref="P3:T3"/>
    <mergeCell ref="V3:AF3"/>
    <mergeCell ref="A4:AG4"/>
    <mergeCell ref="AH6:AI6"/>
    <mergeCell ref="A26:A27"/>
  </mergeCells>
  <printOptions/>
  <pageMargins bottom="0.7875" footer="0.0" header="0.0" left="0.511806" right="0.511806" top="0.7875"/>
  <pageSetup paperSize="9" orientation="landscape"/>
  <drawing r:id="rId1"/>
</worksheet>
</file>